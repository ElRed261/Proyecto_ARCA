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Mi unidad\Central\2026\Marzo\"/>
    </mc:Choice>
  </mc:AlternateContent>
  <bookViews>
    <workbookView showSheetTabs="0" xWindow="-120" yWindow="-120" windowWidth="20730" windowHeight="11160" activeTab="10"/>
  </bookViews>
  <sheets>
    <sheet name="MENU" sheetId="38" r:id="rId1"/>
    <sheet name="0006Z" sheetId="11" r:id="rId2"/>
    <sheet name="0009Z" sheetId="29" r:id="rId3"/>
    <sheet name="1200Z" sheetId="19" r:id="rId4"/>
    <sheet name="1500Z" sheetId="21" r:id="rId5"/>
    <sheet name="1800Z" sheetId="22" r:id="rId6"/>
    <sheet name="2100Z" sheetId="24" r:id="rId7"/>
    <sheet name="0000Z" sheetId="25" r:id="rId8"/>
    <sheet name="0003Z" sheetId="23" r:id="rId9"/>
    <sheet name="FORMULAS" sheetId="39" r:id="rId10"/>
    <sheet name="3074" sheetId="40" r:id="rId11"/>
    <sheet name="4074" sheetId="41" r:id="rId12"/>
    <sheet name="5074" sheetId="42" r:id="rId13"/>
    <sheet name="Guardar TXT" sheetId="26" r:id="rId14"/>
    <sheet name="Instrucciones de llenado" sheetId="31" r:id="rId15"/>
  </sheets>
  <definedNames>
    <definedName name="A">'1200Z'!$J$8:$XFD$8</definedName>
    <definedName name="_xlnm.Print_Area" localSheetId="7">'0000Z'!$A$1:$H$37</definedName>
    <definedName name="_xlnm.Print_Area" localSheetId="8">'0003Z'!$A$1:$H$37</definedName>
    <definedName name="_xlnm.Print_Area" localSheetId="1">'0006Z'!$A$1:$H$37</definedName>
    <definedName name="_xlnm.Print_Area" localSheetId="2">'0009Z'!$A$1:$H$37</definedName>
    <definedName name="_xlnm.Print_Area" localSheetId="3">'1200Z'!$A$1:$H$37</definedName>
    <definedName name="_xlnm.Print_Area" localSheetId="4">'1500Z'!$A$1:$H$37</definedName>
    <definedName name="_xlnm.Print_Area" localSheetId="5">'1800Z'!$A$1:$H$37</definedName>
    <definedName name="_xlnm.Print_Area" localSheetId="6">'2100Z'!$A$1:$H$37</definedName>
    <definedName name="_xlnm.Print_Area" localSheetId="10">'3074'!$B$2:$Z$36</definedName>
    <definedName name="_xlnm.Print_Area" localSheetId="11">'4074'!$B$2:$Z$33</definedName>
    <definedName name="_xlnm.Print_Area" localSheetId="12">'5074'!$B$2:$AW$35</definedName>
    <definedName name="_xlnm.Print_Area" localSheetId="13">'Guardar TXT'!$A$1:$I$130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23" l="1"/>
  <c r="M10" i="23"/>
  <c r="L10" i="23"/>
  <c r="K10" i="23"/>
  <c r="H33" i="23"/>
  <c r="N10" i="25"/>
  <c r="M10" i="25"/>
  <c r="L10" i="25"/>
  <c r="K10" i="25"/>
  <c r="H33" i="25"/>
  <c r="N10" i="24"/>
  <c r="M10" i="24"/>
  <c r="L10" i="24"/>
  <c r="K10" i="24"/>
  <c r="H33" i="24"/>
  <c r="N10" i="22"/>
  <c r="M10" i="22"/>
  <c r="L10" i="22"/>
  <c r="K10" i="22"/>
  <c r="H33" i="22"/>
  <c r="N10" i="21"/>
  <c r="M10" i="21"/>
  <c r="L10" i="21"/>
  <c r="K10" i="21"/>
  <c r="H33" i="21"/>
  <c r="N10" i="19"/>
  <c r="M10" i="19"/>
  <c r="L10" i="19"/>
  <c r="K10" i="19"/>
  <c r="H33" i="19"/>
  <c r="N10" i="29"/>
  <c r="M10" i="29"/>
  <c r="L10" i="29"/>
  <c r="K10" i="29"/>
  <c r="H33" i="29"/>
  <c r="K10" i="11"/>
  <c r="L10" i="11"/>
  <c r="N10" i="11"/>
  <c r="M10" i="11"/>
  <c r="H33" i="11"/>
  <c r="S32" i="39"/>
  <c r="S33" i="39" s="1"/>
  <c r="S34" i="39" s="1"/>
  <c r="S35" i="39" s="1"/>
  <c r="S36" i="39" s="1"/>
  <c r="S37" i="39" s="1"/>
  <c r="S38" i="39" s="1"/>
  <c r="S39" i="39" s="1"/>
  <c r="S40" i="39" s="1"/>
  <c r="S41" i="39" s="1"/>
  <c r="S42" i="39" s="1"/>
  <c r="S43" i="39" s="1"/>
  <c r="S44" i="39" s="1"/>
  <c r="S45" i="39" s="1"/>
  <c r="S46" i="39" s="1"/>
  <c r="S47" i="39" s="1"/>
  <c r="S48" i="39" s="1"/>
  <c r="S49" i="39" s="1"/>
  <c r="S50" i="39" s="1"/>
  <c r="S51" i="39" s="1"/>
  <c r="S52" i="39" s="1"/>
  <c r="S53" i="39" s="1"/>
  <c r="S54" i="39" s="1"/>
  <c r="S55" i="39" s="1"/>
  <c r="S56" i="39" s="1"/>
  <c r="S57" i="39" s="1"/>
  <c r="S58" i="39" s="1"/>
  <c r="S59" i="39" s="1"/>
  <c r="S60" i="39" s="1"/>
  <c r="S61" i="39" s="1"/>
  <c r="S62" i="39" s="1"/>
  <c r="S63" i="39" s="1"/>
  <c r="S64" i="39" s="1"/>
  <c r="S65" i="39" s="1"/>
  <c r="S66" i="39" s="1"/>
  <c r="S67" i="39" s="1"/>
  <c r="S68" i="39" s="1"/>
  <c r="S69" i="39" s="1"/>
  <c r="S70" i="39" s="1"/>
  <c r="U30" i="39" s="1"/>
  <c r="U31" i="39" s="1"/>
  <c r="U32" i="39" s="1"/>
  <c r="U33" i="39" s="1"/>
  <c r="U34" i="39" s="1"/>
  <c r="U35" i="39" s="1"/>
  <c r="U36" i="39" s="1"/>
  <c r="U37" i="39" s="1"/>
  <c r="U38" i="39" s="1"/>
  <c r="S31" i="39"/>
  <c r="V39" i="39"/>
  <c r="T33" i="39"/>
  <c r="T34" i="39"/>
  <c r="T35" i="39" s="1"/>
  <c r="T36" i="39" s="1"/>
  <c r="T37" i="39" s="1"/>
  <c r="T38" i="39" s="1"/>
  <c r="T39" i="39" s="1"/>
  <c r="T40" i="39" s="1"/>
  <c r="T41" i="39" s="1"/>
  <c r="T42" i="39" s="1"/>
  <c r="T43" i="39" s="1"/>
  <c r="T44" i="39" s="1"/>
  <c r="T45" i="39" s="1"/>
  <c r="T46" i="39" s="1"/>
  <c r="T47" i="39" s="1"/>
  <c r="T48" i="39" s="1"/>
  <c r="T49" i="39" s="1"/>
  <c r="T50" i="39" s="1"/>
  <c r="T51" i="39" s="1"/>
  <c r="T52" i="39" s="1"/>
  <c r="T53" i="39" s="1"/>
  <c r="T54" i="39" s="1"/>
  <c r="T55" i="39" s="1"/>
  <c r="T56" i="39" s="1"/>
  <c r="T57" i="39" s="1"/>
  <c r="T58" i="39" s="1"/>
  <c r="T59" i="39" s="1"/>
  <c r="T60" i="39" s="1"/>
  <c r="T61" i="39" s="1"/>
  <c r="T62" i="39" s="1"/>
  <c r="T63" i="39" s="1"/>
  <c r="T64" i="39" s="1"/>
  <c r="T65" i="39" s="1"/>
  <c r="T66" i="39" s="1"/>
  <c r="T67" i="39" s="1"/>
  <c r="T68" i="39" s="1"/>
  <c r="T69" i="39" s="1"/>
  <c r="T70" i="39" s="1"/>
  <c r="V30" i="39" s="1"/>
  <c r="V31" i="39" s="1"/>
  <c r="V32" i="39" s="1"/>
  <c r="V33" i="39" s="1"/>
  <c r="V34" i="39" s="1"/>
  <c r="V35" i="39" s="1"/>
  <c r="V36" i="39" s="1"/>
  <c r="V37" i="39" s="1"/>
  <c r="V38" i="39" s="1"/>
  <c r="T32" i="39"/>
  <c r="U41" i="39"/>
  <c r="U42" i="39" s="1"/>
  <c r="U43" i="39" s="1"/>
  <c r="U44" i="39" s="1"/>
  <c r="U45" i="39" s="1"/>
  <c r="U46" i="39" s="1"/>
  <c r="U47" i="39" s="1"/>
  <c r="U48" i="39" s="1"/>
  <c r="U49" i="39" s="1"/>
  <c r="U50" i="39" s="1"/>
  <c r="U51" i="39" s="1"/>
  <c r="U52" i="39" s="1"/>
  <c r="U53" i="39" s="1"/>
  <c r="U54" i="39" s="1"/>
  <c r="U55" i="39" s="1"/>
  <c r="U56" i="39" s="1"/>
  <c r="U57" i="39" s="1"/>
  <c r="U58" i="39" s="1"/>
  <c r="U59" i="39" s="1"/>
  <c r="U60" i="39" s="1"/>
  <c r="U61" i="39" s="1"/>
  <c r="U62" i="39" s="1"/>
  <c r="U63" i="39" s="1"/>
  <c r="U64" i="39" s="1"/>
  <c r="C33" i="11"/>
  <c r="C33" i="29"/>
  <c r="V40" i="39" l="1"/>
  <c r="V41" i="39" s="1"/>
  <c r="V42" i="39" s="1"/>
  <c r="V43" i="39" s="1"/>
  <c r="V44" i="39" s="1"/>
  <c r="V45" i="39" s="1"/>
  <c r="V46" i="39" s="1"/>
  <c r="V47" i="39" s="1"/>
  <c r="V48" i="39" s="1"/>
  <c r="V49" i="39" s="1"/>
  <c r="V50" i="39" s="1"/>
  <c r="V51" i="39" s="1"/>
  <c r="V52" i="39" s="1"/>
  <c r="V53" i="39" s="1"/>
  <c r="V54" i="39" s="1"/>
  <c r="V55" i="39" s="1"/>
  <c r="V56" i="39" s="1"/>
  <c r="V57" i="39" s="1"/>
  <c r="V58" i="39" s="1"/>
  <c r="V59" i="39" s="1"/>
  <c r="V60" i="39" s="1"/>
  <c r="V61" i="39" s="1"/>
  <c r="V62" i="39" s="1"/>
  <c r="V63" i="39" s="1"/>
  <c r="V64" i="39" s="1"/>
  <c r="AP2" i="42" l="1"/>
  <c r="Y2" i="41"/>
  <c r="W2" i="40"/>
  <c r="D29" i="25" l="1"/>
  <c r="D29" i="29"/>
  <c r="L19" i="39" l="1"/>
  <c r="L18" i="39"/>
  <c r="L17" i="39"/>
  <c r="L16" i="39"/>
  <c r="L15" i="39"/>
  <c r="L14" i="39"/>
  <c r="L10" i="39"/>
  <c r="M10" i="39" s="1"/>
  <c r="L9" i="39"/>
  <c r="M9" i="39" s="1"/>
  <c r="L8" i="39"/>
  <c r="M8" i="39" s="1"/>
  <c r="L7" i="39"/>
  <c r="M7" i="39" s="1"/>
  <c r="L6" i="39"/>
  <c r="M6" i="39" s="1"/>
  <c r="L5" i="39"/>
  <c r="M5" i="39" s="1"/>
  <c r="L4" i="39"/>
  <c r="M4" i="39" s="1"/>
  <c r="L3" i="39"/>
  <c r="M3" i="39" s="1"/>
  <c r="M32" i="40"/>
  <c r="I32" i="40"/>
  <c r="H32" i="40"/>
  <c r="G32" i="40"/>
  <c r="F32" i="40"/>
  <c r="C32" i="40"/>
  <c r="M29" i="40"/>
  <c r="I29" i="40"/>
  <c r="H29" i="40"/>
  <c r="G29" i="40"/>
  <c r="F29" i="40"/>
  <c r="C29" i="40"/>
  <c r="M26" i="40"/>
  <c r="I26" i="40"/>
  <c r="H26" i="40"/>
  <c r="G26" i="40"/>
  <c r="F26" i="40"/>
  <c r="C26" i="40"/>
  <c r="M23" i="40"/>
  <c r="I23" i="40"/>
  <c r="H23" i="40"/>
  <c r="G23" i="40"/>
  <c r="F23" i="40"/>
  <c r="C23" i="40"/>
  <c r="M20" i="40"/>
  <c r="I20" i="40"/>
  <c r="H20" i="40"/>
  <c r="G20" i="40"/>
  <c r="F20" i="40"/>
  <c r="C20" i="40"/>
  <c r="M17" i="40"/>
  <c r="I17" i="40"/>
  <c r="H17" i="40"/>
  <c r="G17" i="40"/>
  <c r="F17" i="40"/>
  <c r="C17" i="40"/>
  <c r="M14" i="40"/>
  <c r="I14" i="40"/>
  <c r="H14" i="40"/>
  <c r="G14" i="40"/>
  <c r="F14" i="40"/>
  <c r="C14" i="40"/>
  <c r="M11" i="40"/>
  <c r="I11" i="40"/>
  <c r="H11" i="40"/>
  <c r="G11" i="40"/>
  <c r="F11" i="40"/>
  <c r="C11" i="40"/>
  <c r="Y32" i="41"/>
  <c r="V32" i="41"/>
  <c r="Q32" i="41"/>
  <c r="L32" i="41"/>
  <c r="G32" i="41"/>
  <c r="D32" i="41"/>
  <c r="F32" i="41" s="1"/>
  <c r="C32" i="41"/>
  <c r="Y29" i="41"/>
  <c r="X29" i="41"/>
  <c r="W29" i="41"/>
  <c r="V29" i="41"/>
  <c r="Q29" i="41"/>
  <c r="L29" i="41"/>
  <c r="G29" i="41"/>
  <c r="J29" i="41" s="1"/>
  <c r="D29" i="41"/>
  <c r="F29" i="41" s="1"/>
  <c r="C29" i="41"/>
  <c r="Y26" i="41"/>
  <c r="X26" i="41"/>
  <c r="W26" i="41"/>
  <c r="V26" i="41"/>
  <c r="Q26" i="41"/>
  <c r="L26" i="41"/>
  <c r="G26" i="41"/>
  <c r="D26" i="41"/>
  <c r="F26" i="41" s="1"/>
  <c r="C26" i="41"/>
  <c r="Y23" i="41"/>
  <c r="X23" i="41"/>
  <c r="W23" i="41"/>
  <c r="V23" i="41"/>
  <c r="Q23" i="41"/>
  <c r="L23" i="41"/>
  <c r="G23" i="41"/>
  <c r="J23" i="41" s="1"/>
  <c r="D23" i="41"/>
  <c r="F23" i="41" s="1"/>
  <c r="C23" i="41"/>
  <c r="Y20" i="41"/>
  <c r="X20" i="41"/>
  <c r="W20" i="41"/>
  <c r="V20" i="41"/>
  <c r="Q20" i="41"/>
  <c r="L20" i="41"/>
  <c r="G20" i="41"/>
  <c r="J20" i="41" s="1"/>
  <c r="D20" i="41"/>
  <c r="F20" i="41" s="1"/>
  <c r="C20" i="41"/>
  <c r="Y17" i="41"/>
  <c r="X17" i="41"/>
  <c r="W17" i="41"/>
  <c r="V17" i="41"/>
  <c r="Q17" i="41"/>
  <c r="L17" i="41"/>
  <c r="G17" i="41"/>
  <c r="I17" i="41" s="1"/>
  <c r="D17" i="41"/>
  <c r="C17" i="41"/>
  <c r="Y14" i="41"/>
  <c r="X14" i="41"/>
  <c r="W14" i="41"/>
  <c r="V14" i="41"/>
  <c r="Q14" i="41"/>
  <c r="L14" i="41"/>
  <c r="G14" i="41"/>
  <c r="I14" i="41" s="1"/>
  <c r="D14" i="41"/>
  <c r="C14" i="41"/>
  <c r="Y11" i="41"/>
  <c r="X11" i="41"/>
  <c r="W11" i="41"/>
  <c r="V11" i="41"/>
  <c r="Q11" i="41"/>
  <c r="L11" i="41"/>
  <c r="G11" i="41"/>
  <c r="D11" i="41"/>
  <c r="C11" i="41"/>
  <c r="G128" i="26"/>
  <c r="F128" i="26"/>
  <c r="G127" i="26"/>
  <c r="F127" i="26"/>
  <c r="A127" i="26"/>
  <c r="C126" i="26"/>
  <c r="G125" i="26"/>
  <c r="F125" i="26"/>
  <c r="E125" i="26"/>
  <c r="C125" i="26"/>
  <c r="A125" i="26"/>
  <c r="C124" i="26"/>
  <c r="F123" i="26"/>
  <c r="E123" i="26"/>
  <c r="D123" i="26"/>
  <c r="C123" i="26"/>
  <c r="B123" i="26"/>
  <c r="A123" i="26"/>
  <c r="G122" i="26"/>
  <c r="F122" i="26"/>
  <c r="E122" i="26"/>
  <c r="D122" i="26"/>
  <c r="C122" i="26"/>
  <c r="B122" i="26"/>
  <c r="A122" i="26"/>
  <c r="G121" i="26"/>
  <c r="F121" i="26"/>
  <c r="E121" i="26"/>
  <c r="D121" i="26"/>
  <c r="C121" i="26"/>
  <c r="B121" i="26"/>
  <c r="A121" i="26"/>
  <c r="G120" i="26"/>
  <c r="F120" i="26"/>
  <c r="E120" i="26"/>
  <c r="D120" i="26"/>
  <c r="C120" i="26"/>
  <c r="B120" i="26"/>
  <c r="A120" i="26"/>
  <c r="G119" i="26"/>
  <c r="F119" i="26"/>
  <c r="E119" i="26"/>
  <c r="D119" i="26"/>
  <c r="B119" i="26"/>
  <c r="A119" i="26"/>
  <c r="G118" i="26"/>
  <c r="F118" i="26"/>
  <c r="E118" i="26"/>
  <c r="D118" i="26"/>
  <c r="C118" i="26"/>
  <c r="B118" i="26"/>
  <c r="A118" i="26"/>
  <c r="G117" i="26"/>
  <c r="F117" i="26"/>
  <c r="B117" i="26"/>
  <c r="A117" i="26"/>
  <c r="G116" i="26"/>
  <c r="F116" i="26"/>
  <c r="E116" i="26"/>
  <c r="D116" i="26"/>
  <c r="C116" i="26"/>
  <c r="B116" i="26"/>
  <c r="A116" i="26"/>
  <c r="G112" i="26"/>
  <c r="F112" i="26"/>
  <c r="G111" i="26"/>
  <c r="F111" i="26"/>
  <c r="A111" i="26"/>
  <c r="C110" i="26"/>
  <c r="G109" i="26"/>
  <c r="F109" i="26"/>
  <c r="E109" i="26"/>
  <c r="C109" i="26"/>
  <c r="A109" i="26"/>
  <c r="G108" i="26"/>
  <c r="F108" i="26"/>
  <c r="E108" i="26"/>
  <c r="D108" i="26"/>
  <c r="C108" i="26"/>
  <c r="B108" i="26"/>
  <c r="A108" i="26"/>
  <c r="F107" i="26"/>
  <c r="E107" i="26"/>
  <c r="D107" i="26"/>
  <c r="C107" i="26"/>
  <c r="B107" i="26"/>
  <c r="A107" i="26"/>
  <c r="G106" i="26"/>
  <c r="F106" i="26"/>
  <c r="E106" i="26"/>
  <c r="D106" i="26"/>
  <c r="C106" i="26"/>
  <c r="B106" i="26"/>
  <c r="A106" i="26"/>
  <c r="G105" i="26"/>
  <c r="F105" i="26"/>
  <c r="E105" i="26"/>
  <c r="D105" i="26"/>
  <c r="C105" i="26"/>
  <c r="B105" i="26"/>
  <c r="A105" i="26"/>
  <c r="G104" i="26"/>
  <c r="F104" i="26"/>
  <c r="E104" i="26"/>
  <c r="D104" i="26"/>
  <c r="C104" i="26"/>
  <c r="B104" i="26"/>
  <c r="A104" i="26"/>
  <c r="G103" i="26"/>
  <c r="F103" i="26"/>
  <c r="E103" i="26"/>
  <c r="D103" i="26"/>
  <c r="B103" i="26"/>
  <c r="A103" i="26"/>
  <c r="G102" i="26"/>
  <c r="F102" i="26"/>
  <c r="E102" i="26"/>
  <c r="D102" i="26"/>
  <c r="C102" i="26"/>
  <c r="B102" i="26"/>
  <c r="A102" i="26"/>
  <c r="G101" i="26"/>
  <c r="F101" i="26"/>
  <c r="B101" i="26"/>
  <c r="A101" i="26"/>
  <c r="G100" i="26"/>
  <c r="F100" i="26"/>
  <c r="E100" i="26"/>
  <c r="D100" i="26"/>
  <c r="C100" i="26"/>
  <c r="B100" i="26"/>
  <c r="A100" i="26"/>
  <c r="G96" i="26"/>
  <c r="F96" i="26"/>
  <c r="G95" i="26"/>
  <c r="F95" i="26"/>
  <c r="A95" i="26"/>
  <c r="C94" i="26"/>
  <c r="G93" i="26"/>
  <c r="F93" i="26"/>
  <c r="E93" i="26"/>
  <c r="C93" i="26"/>
  <c r="A93" i="26"/>
  <c r="C92" i="26"/>
  <c r="F91" i="26"/>
  <c r="E91" i="26"/>
  <c r="D91" i="26"/>
  <c r="C91" i="26"/>
  <c r="B91" i="26"/>
  <c r="A91" i="26"/>
  <c r="G90" i="26"/>
  <c r="F90" i="26"/>
  <c r="E90" i="26"/>
  <c r="D90" i="26"/>
  <c r="C90" i="26"/>
  <c r="B90" i="26"/>
  <c r="A90" i="26"/>
  <c r="G89" i="26"/>
  <c r="F89" i="26"/>
  <c r="E89" i="26"/>
  <c r="D89" i="26"/>
  <c r="C89" i="26"/>
  <c r="B89" i="26"/>
  <c r="A89" i="26"/>
  <c r="G88" i="26"/>
  <c r="F88" i="26"/>
  <c r="E88" i="26"/>
  <c r="D88" i="26"/>
  <c r="C88" i="26"/>
  <c r="B88" i="26"/>
  <c r="A88" i="26"/>
  <c r="G87" i="26"/>
  <c r="F87" i="26"/>
  <c r="E87" i="26"/>
  <c r="D87" i="26"/>
  <c r="B87" i="26"/>
  <c r="A87" i="26"/>
  <c r="G86" i="26"/>
  <c r="F86" i="26"/>
  <c r="E86" i="26"/>
  <c r="D86" i="26"/>
  <c r="C86" i="26"/>
  <c r="B86" i="26"/>
  <c r="A86" i="26"/>
  <c r="G85" i="26"/>
  <c r="F85" i="26"/>
  <c r="B85" i="26"/>
  <c r="A85" i="26"/>
  <c r="G84" i="26"/>
  <c r="F84" i="26"/>
  <c r="E84" i="26"/>
  <c r="D84" i="26"/>
  <c r="C84" i="26"/>
  <c r="B84" i="26"/>
  <c r="A84" i="26"/>
  <c r="G80" i="26"/>
  <c r="F80" i="26"/>
  <c r="G79" i="26"/>
  <c r="F79" i="26"/>
  <c r="A79" i="26"/>
  <c r="C78" i="26"/>
  <c r="G77" i="26"/>
  <c r="F77" i="26"/>
  <c r="E77" i="26"/>
  <c r="C77" i="26"/>
  <c r="A77" i="26"/>
  <c r="C76" i="26"/>
  <c r="F75" i="26"/>
  <c r="E75" i="26"/>
  <c r="D75" i="26"/>
  <c r="C75" i="26"/>
  <c r="B75" i="26"/>
  <c r="A75" i="26"/>
  <c r="G74" i="26"/>
  <c r="F74" i="26"/>
  <c r="E74" i="26"/>
  <c r="D74" i="26"/>
  <c r="C74" i="26"/>
  <c r="B74" i="26"/>
  <c r="A74" i="26"/>
  <c r="G73" i="26"/>
  <c r="F73" i="26"/>
  <c r="E73" i="26"/>
  <c r="D73" i="26"/>
  <c r="C73" i="26"/>
  <c r="B73" i="26"/>
  <c r="A73" i="26"/>
  <c r="G72" i="26"/>
  <c r="F72" i="26"/>
  <c r="E72" i="26"/>
  <c r="D72" i="26"/>
  <c r="C72" i="26"/>
  <c r="B72" i="26"/>
  <c r="A72" i="26"/>
  <c r="G71" i="26"/>
  <c r="F71" i="26"/>
  <c r="E71" i="26"/>
  <c r="D71" i="26"/>
  <c r="B71" i="26"/>
  <c r="A71" i="26"/>
  <c r="G70" i="26"/>
  <c r="F70" i="26"/>
  <c r="E70" i="26"/>
  <c r="D70" i="26"/>
  <c r="C70" i="26"/>
  <c r="B70" i="26"/>
  <c r="A70" i="26"/>
  <c r="G69" i="26"/>
  <c r="F69" i="26"/>
  <c r="B69" i="26"/>
  <c r="A69" i="26"/>
  <c r="G68" i="26"/>
  <c r="F68" i="26"/>
  <c r="E68" i="26"/>
  <c r="D68" i="26"/>
  <c r="C68" i="26"/>
  <c r="B68" i="26"/>
  <c r="A68" i="26"/>
  <c r="G64" i="26"/>
  <c r="F64" i="26"/>
  <c r="G63" i="26"/>
  <c r="F63" i="26"/>
  <c r="A63" i="26"/>
  <c r="G62" i="26"/>
  <c r="F62" i="26"/>
  <c r="E62" i="26"/>
  <c r="D62" i="26"/>
  <c r="C62" i="26"/>
  <c r="B62" i="26"/>
  <c r="A62" i="26"/>
  <c r="G61" i="26"/>
  <c r="F61" i="26"/>
  <c r="E61" i="26"/>
  <c r="C61" i="26"/>
  <c r="A61" i="26"/>
  <c r="C60" i="26"/>
  <c r="F59" i="26"/>
  <c r="E59" i="26"/>
  <c r="D59" i="26"/>
  <c r="C59" i="26"/>
  <c r="B59" i="26"/>
  <c r="A59" i="26"/>
  <c r="G58" i="26"/>
  <c r="F58" i="26"/>
  <c r="E58" i="26"/>
  <c r="D58" i="26"/>
  <c r="C58" i="26"/>
  <c r="B58" i="26"/>
  <c r="A58" i="26"/>
  <c r="G57" i="26"/>
  <c r="F57" i="26"/>
  <c r="E57" i="26"/>
  <c r="D57" i="26"/>
  <c r="C57" i="26"/>
  <c r="B57" i="26"/>
  <c r="A57" i="26"/>
  <c r="G56" i="26"/>
  <c r="F56" i="26"/>
  <c r="E56" i="26"/>
  <c r="D56" i="26"/>
  <c r="C56" i="26"/>
  <c r="B56" i="26"/>
  <c r="A56" i="26"/>
  <c r="G55" i="26"/>
  <c r="F55" i="26"/>
  <c r="E55" i="26"/>
  <c r="D55" i="26"/>
  <c r="B55" i="26"/>
  <c r="A55" i="26"/>
  <c r="G54" i="26"/>
  <c r="F54" i="26"/>
  <c r="E54" i="26"/>
  <c r="D54" i="26"/>
  <c r="C54" i="26"/>
  <c r="B54" i="26"/>
  <c r="A54" i="26"/>
  <c r="G53" i="26"/>
  <c r="F53" i="26"/>
  <c r="B53" i="26"/>
  <c r="A53" i="26"/>
  <c r="G52" i="26"/>
  <c r="F52" i="26"/>
  <c r="E52" i="26"/>
  <c r="D52" i="26"/>
  <c r="C52" i="26"/>
  <c r="B52" i="26"/>
  <c r="A52" i="26"/>
  <c r="G48" i="26"/>
  <c r="F48" i="26"/>
  <c r="G47" i="26"/>
  <c r="F47" i="26"/>
  <c r="A47" i="26"/>
  <c r="C46" i="26"/>
  <c r="G45" i="26"/>
  <c r="F45" i="26"/>
  <c r="E45" i="26"/>
  <c r="C45" i="26"/>
  <c r="A45" i="26"/>
  <c r="C44" i="26"/>
  <c r="F43" i="26"/>
  <c r="E43" i="26"/>
  <c r="D43" i="26"/>
  <c r="C43" i="26"/>
  <c r="B43" i="26"/>
  <c r="A43" i="26"/>
  <c r="G42" i="26"/>
  <c r="F42" i="26"/>
  <c r="E42" i="26"/>
  <c r="D42" i="26"/>
  <c r="C42" i="26"/>
  <c r="B42" i="26"/>
  <c r="A42" i="26"/>
  <c r="G41" i="26"/>
  <c r="F41" i="26"/>
  <c r="E41" i="26"/>
  <c r="D41" i="26"/>
  <c r="C41" i="26"/>
  <c r="B41" i="26"/>
  <c r="A41" i="26"/>
  <c r="G40" i="26"/>
  <c r="F40" i="26"/>
  <c r="E40" i="26"/>
  <c r="D40" i="26"/>
  <c r="C40" i="26"/>
  <c r="B40" i="26"/>
  <c r="A40" i="26"/>
  <c r="G39" i="26"/>
  <c r="F39" i="26"/>
  <c r="E39" i="26"/>
  <c r="D39" i="26"/>
  <c r="B39" i="26"/>
  <c r="A39" i="26"/>
  <c r="G38" i="26"/>
  <c r="F38" i="26"/>
  <c r="E38" i="26"/>
  <c r="D38" i="26"/>
  <c r="C38" i="26"/>
  <c r="B38" i="26"/>
  <c r="A38" i="26"/>
  <c r="G37" i="26"/>
  <c r="F37" i="26"/>
  <c r="B37" i="26"/>
  <c r="A37" i="26"/>
  <c r="G36" i="26"/>
  <c r="F36" i="26"/>
  <c r="E36" i="26"/>
  <c r="D36" i="26"/>
  <c r="C36" i="26"/>
  <c r="B36" i="26"/>
  <c r="A36" i="26"/>
  <c r="G32" i="26"/>
  <c r="F32" i="26"/>
  <c r="G31" i="26"/>
  <c r="F31" i="26"/>
  <c r="A31" i="26"/>
  <c r="C30" i="26"/>
  <c r="G29" i="26"/>
  <c r="F29" i="26"/>
  <c r="E29" i="26"/>
  <c r="D29" i="26"/>
  <c r="C29" i="26"/>
  <c r="A29" i="26"/>
  <c r="C28" i="26"/>
  <c r="F27" i="26"/>
  <c r="E27" i="26"/>
  <c r="D27" i="26"/>
  <c r="C27" i="26"/>
  <c r="B27" i="26"/>
  <c r="A27" i="26"/>
  <c r="G26" i="26"/>
  <c r="F26" i="26"/>
  <c r="E26" i="26"/>
  <c r="D26" i="26"/>
  <c r="C26" i="26"/>
  <c r="B26" i="26"/>
  <c r="A26" i="26"/>
  <c r="G25" i="26"/>
  <c r="F25" i="26"/>
  <c r="E25" i="26"/>
  <c r="D25" i="26"/>
  <c r="C25" i="26"/>
  <c r="B25" i="26"/>
  <c r="A25" i="26"/>
  <c r="G24" i="26"/>
  <c r="F24" i="26"/>
  <c r="E24" i="26"/>
  <c r="D24" i="26"/>
  <c r="C24" i="26"/>
  <c r="B24" i="26"/>
  <c r="A24" i="26"/>
  <c r="G23" i="26"/>
  <c r="F23" i="26"/>
  <c r="E23" i="26"/>
  <c r="D23" i="26"/>
  <c r="B23" i="26"/>
  <c r="A23" i="26"/>
  <c r="G22" i="26"/>
  <c r="F22" i="26"/>
  <c r="E22" i="26"/>
  <c r="D22" i="26"/>
  <c r="C22" i="26"/>
  <c r="B22" i="26"/>
  <c r="A22" i="26"/>
  <c r="G21" i="26"/>
  <c r="F21" i="26"/>
  <c r="B21" i="26"/>
  <c r="A21" i="26"/>
  <c r="G20" i="26"/>
  <c r="F20" i="26"/>
  <c r="E20" i="26"/>
  <c r="D20" i="26"/>
  <c r="C20" i="26"/>
  <c r="B20" i="26"/>
  <c r="A20" i="26"/>
  <c r="G16" i="26"/>
  <c r="F16" i="26"/>
  <c r="G15" i="26"/>
  <c r="F15" i="26"/>
  <c r="A15" i="26"/>
  <c r="C14" i="26"/>
  <c r="G13" i="26"/>
  <c r="F13" i="26"/>
  <c r="E13" i="26"/>
  <c r="D13" i="26"/>
  <c r="C13" i="26"/>
  <c r="A13" i="26"/>
  <c r="C12" i="26"/>
  <c r="F11" i="26"/>
  <c r="E11" i="26"/>
  <c r="D11" i="26"/>
  <c r="C11" i="26"/>
  <c r="B11" i="26"/>
  <c r="A11" i="26"/>
  <c r="G10" i="26"/>
  <c r="F10" i="26"/>
  <c r="E10" i="26"/>
  <c r="D10" i="26"/>
  <c r="C10" i="26"/>
  <c r="B10" i="26"/>
  <c r="A10" i="26"/>
  <c r="G9" i="26"/>
  <c r="F9" i="26"/>
  <c r="E9" i="26"/>
  <c r="D9" i="26"/>
  <c r="C9" i="26"/>
  <c r="B9" i="26"/>
  <c r="A9" i="26"/>
  <c r="G8" i="26"/>
  <c r="F8" i="26"/>
  <c r="E8" i="26"/>
  <c r="D8" i="26"/>
  <c r="C8" i="26"/>
  <c r="B8" i="26"/>
  <c r="A8" i="26"/>
  <c r="G7" i="26"/>
  <c r="F7" i="26"/>
  <c r="E7" i="26"/>
  <c r="D7" i="26"/>
  <c r="B7" i="26"/>
  <c r="A7" i="26"/>
  <c r="G6" i="26"/>
  <c r="F6" i="26"/>
  <c r="E6" i="26"/>
  <c r="D6" i="26"/>
  <c r="C6" i="26"/>
  <c r="B6" i="26"/>
  <c r="A6" i="26"/>
  <c r="G5" i="26"/>
  <c r="F5" i="26"/>
  <c r="B5" i="26"/>
  <c r="A5" i="26"/>
  <c r="G4" i="26"/>
  <c r="F4" i="26"/>
  <c r="E4" i="26"/>
  <c r="D4" i="26"/>
  <c r="C4" i="26"/>
  <c r="B4" i="26"/>
  <c r="A4" i="26"/>
  <c r="AE3" i="42"/>
  <c r="S4" i="41"/>
  <c r="W3" i="40"/>
  <c r="C33" i="24"/>
  <c r="C95" i="26" s="1"/>
  <c r="C33" i="22"/>
  <c r="C79" i="26" s="1"/>
  <c r="C33" i="21"/>
  <c r="C63" i="26" s="1"/>
  <c r="C33" i="19"/>
  <c r="C47" i="26" s="1"/>
  <c r="C31" i="26"/>
  <c r="C33" i="23"/>
  <c r="C127" i="26" s="1"/>
  <c r="C33" i="25"/>
  <c r="C111" i="26" s="1"/>
  <c r="C15" i="26" l="1"/>
  <c r="S18" i="42"/>
  <c r="N18" i="42"/>
  <c r="I18" i="42"/>
  <c r="X18" i="42"/>
  <c r="O20" i="41"/>
  <c r="T29" i="41"/>
  <c r="O23" i="41"/>
  <c r="J17" i="41"/>
  <c r="T23" i="41"/>
  <c r="O17" i="41"/>
  <c r="O29" i="41"/>
  <c r="T17" i="41"/>
  <c r="T20" i="41"/>
  <c r="I23" i="41"/>
  <c r="K14" i="41"/>
  <c r="P14" i="41" s="1"/>
  <c r="U14" i="41" s="1"/>
  <c r="K23" i="41"/>
  <c r="P23" i="41" s="1"/>
  <c r="U23" i="41" s="1"/>
  <c r="I26" i="41"/>
  <c r="M14" i="41"/>
  <c r="N14" i="41"/>
  <c r="M17" i="41"/>
  <c r="M26" i="41"/>
  <c r="N23" i="41"/>
  <c r="N26" i="41"/>
  <c r="I11" i="41"/>
  <c r="K17" i="41"/>
  <c r="P17" i="41" s="1"/>
  <c r="U17" i="41" s="1"/>
  <c r="N17" i="41"/>
  <c r="M20" i="41"/>
  <c r="I29" i="41"/>
  <c r="N20" i="41"/>
  <c r="M23" i="41"/>
  <c r="I32" i="41"/>
  <c r="M11" i="41"/>
  <c r="I20" i="41"/>
  <c r="M29" i="41"/>
  <c r="N11" i="41"/>
  <c r="N29" i="41"/>
  <c r="M32" i="41"/>
  <c r="N32" i="41"/>
  <c r="K29" i="41"/>
  <c r="P29" i="41" s="1"/>
  <c r="U29" i="41" s="1"/>
  <c r="R11" i="41"/>
  <c r="R14" i="41"/>
  <c r="R17" i="41"/>
  <c r="R20" i="41"/>
  <c r="R23" i="41"/>
  <c r="R26" i="41"/>
  <c r="R29" i="41"/>
  <c r="R32" i="41"/>
  <c r="S11" i="41"/>
  <c r="S14" i="41"/>
  <c r="S17" i="41"/>
  <c r="S20" i="41"/>
  <c r="S23" i="41"/>
  <c r="S26" i="41"/>
  <c r="S29" i="41"/>
  <c r="S32" i="41"/>
  <c r="K11" i="41"/>
  <c r="P11" i="41" s="1"/>
  <c r="U11" i="41" s="1"/>
  <c r="F14" i="41"/>
  <c r="F17" i="41"/>
  <c r="K20" i="41"/>
  <c r="P20" i="41" s="1"/>
  <c r="U20" i="41" s="1"/>
  <c r="K26" i="41"/>
  <c r="P26" i="41" s="1"/>
  <c r="U26" i="41" s="1"/>
  <c r="K32" i="41"/>
  <c r="P32" i="41" s="1"/>
  <c r="U32" i="41" s="1"/>
  <c r="AP3" i="42"/>
  <c r="AM3" i="42"/>
  <c r="AH3" i="42"/>
  <c r="AE5" i="42"/>
  <c r="AE2" i="42"/>
  <c r="T3" i="41"/>
  <c r="S2" i="41"/>
  <c r="R3" i="41"/>
  <c r="O3" i="40"/>
  <c r="W3" i="41"/>
  <c r="Y3" i="41"/>
  <c r="M3" i="40"/>
  <c r="T3" i="40"/>
  <c r="M2" i="40"/>
  <c r="M5" i="40"/>
  <c r="B9" i="42" l="1"/>
  <c r="I17" i="42"/>
  <c r="I19" i="42" s="1"/>
  <c r="E9" i="42" l="1"/>
  <c r="N17" i="42" l="1"/>
  <c r="N19" i="42" s="1"/>
  <c r="S17" i="42"/>
  <c r="S19" i="42" s="1"/>
  <c r="X17" i="42"/>
  <c r="X19" i="42" s="1"/>
  <c r="D29" i="19" l="1"/>
  <c r="D45" i="26" s="1"/>
  <c r="D29" i="21" l="1"/>
  <c r="D61" i="26" s="1"/>
  <c r="C10" i="25"/>
  <c r="C101" i="26" s="1"/>
  <c r="D109" i="26"/>
  <c r="C10" i="24"/>
  <c r="C85" i="26" s="1"/>
  <c r="C10" i="22"/>
  <c r="C69" i="26" s="1"/>
  <c r="C10" i="21"/>
  <c r="C53" i="26" s="1"/>
  <c r="C10" i="19"/>
  <c r="C37" i="26" s="1"/>
  <c r="C10" i="29"/>
  <c r="C21" i="26" s="1"/>
  <c r="C10" i="11"/>
  <c r="C5" i="26" s="1"/>
  <c r="C10" i="23"/>
  <c r="C117" i="26" s="1"/>
  <c r="P14" i="40"/>
  <c r="P26" i="40"/>
  <c r="P17" i="40"/>
  <c r="P20" i="40" l="1"/>
  <c r="P23" i="40"/>
  <c r="J44" i="39" l="1"/>
  <c r="J26" i="39"/>
  <c r="E44" i="39" l="1"/>
  <c r="E26" i="39"/>
  <c r="E8" i="39"/>
  <c r="M15" i="39" l="1"/>
  <c r="L21" i="39" l="1"/>
  <c r="M21" i="39" s="1"/>
  <c r="L20" i="39"/>
  <c r="M20" i="39" s="1"/>
  <c r="M19" i="39"/>
  <c r="M18" i="39"/>
  <c r="M17" i="39"/>
  <c r="M14" i="39"/>
  <c r="M16" i="39"/>
  <c r="J8" i="39"/>
  <c r="P29" i="40" l="1"/>
  <c r="O14" i="40"/>
  <c r="O11" i="40"/>
  <c r="O32" i="40"/>
  <c r="O29" i="40"/>
  <c r="O26" i="40"/>
  <c r="O23" i="40"/>
  <c r="O20" i="40"/>
  <c r="P32" i="40" l="1"/>
  <c r="E33" i="29" l="1"/>
  <c r="D33" i="29"/>
  <c r="D31" i="26" s="1"/>
  <c r="E33" i="11"/>
  <c r="D33" i="11"/>
  <c r="D15" i="26" s="1"/>
  <c r="E33" i="23"/>
  <c r="D33" i="23"/>
  <c r="D127" i="26" s="1"/>
  <c r="E33" i="25"/>
  <c r="D33" i="25"/>
  <c r="E33" i="24"/>
  <c r="D33" i="24"/>
  <c r="D95" i="26" s="1"/>
  <c r="E33" i="22"/>
  <c r="D33" i="22"/>
  <c r="D79" i="26" s="1"/>
  <c r="D33" i="21"/>
  <c r="E33" i="21"/>
  <c r="E33" i="19"/>
  <c r="D33" i="19"/>
  <c r="O17" i="40"/>
  <c r="E37" i="23" l="1"/>
  <c r="E128" i="26" s="1"/>
  <c r="E127" i="26"/>
  <c r="D37" i="25"/>
  <c r="D112" i="26" s="1"/>
  <c r="D111" i="26"/>
  <c r="E37" i="25"/>
  <c r="E112" i="26" s="1"/>
  <c r="E111" i="26"/>
  <c r="E37" i="22"/>
  <c r="E80" i="26" s="1"/>
  <c r="E79" i="26"/>
  <c r="E37" i="21"/>
  <c r="E64" i="26" s="1"/>
  <c r="E63" i="26"/>
  <c r="D37" i="21"/>
  <c r="D64" i="26" s="1"/>
  <c r="D63" i="26"/>
  <c r="D37" i="19"/>
  <c r="D48" i="26" s="1"/>
  <c r="D47" i="26"/>
  <c r="E37" i="19"/>
  <c r="E48" i="26" s="1"/>
  <c r="E47" i="26"/>
  <c r="E37" i="29"/>
  <c r="E32" i="26" s="1"/>
  <c r="E31" i="26"/>
  <c r="E37" i="24"/>
  <c r="E96" i="26" s="1"/>
  <c r="E95" i="26"/>
  <c r="E37" i="11"/>
  <c r="C14" i="11" s="1"/>
  <c r="E15" i="26"/>
  <c r="D37" i="29"/>
  <c r="D32" i="26" s="1"/>
  <c r="D37" i="11"/>
  <c r="D16" i="26" s="1"/>
  <c r="D29" i="23"/>
  <c r="D29" i="24"/>
  <c r="D29" i="22"/>
  <c r="C14" i="23" l="1"/>
  <c r="C119" i="26" s="1"/>
  <c r="C14" i="25"/>
  <c r="C103" i="26" s="1"/>
  <c r="C14" i="24"/>
  <c r="C87" i="26" s="1"/>
  <c r="C14" i="22"/>
  <c r="C71" i="26" s="1"/>
  <c r="C14" i="21"/>
  <c r="C55" i="26" s="1"/>
  <c r="C14" i="19"/>
  <c r="C39" i="26" s="1"/>
  <c r="C14" i="29"/>
  <c r="C23" i="26" s="1"/>
  <c r="E16" i="26"/>
  <c r="C7" i="26"/>
  <c r="D37" i="23"/>
  <c r="D128" i="26" s="1"/>
  <c r="D125" i="26"/>
  <c r="D37" i="24"/>
  <c r="D96" i="26" s="1"/>
  <c r="D93" i="26"/>
  <c r="D37" i="22"/>
  <c r="D80" i="26" s="1"/>
  <c r="D77" i="26"/>
  <c r="H27" i="29" l="1"/>
  <c r="H27" i="11"/>
  <c r="H27" i="23"/>
  <c r="H27" i="25"/>
  <c r="H27" i="24"/>
  <c r="H27" i="22"/>
  <c r="H27" i="21"/>
  <c r="H27" i="19"/>
  <c r="C37" i="11" l="1"/>
  <c r="E10" i="11" s="1"/>
  <c r="A37" i="11"/>
  <c r="A16" i="26" s="1"/>
  <c r="H28" i="11"/>
  <c r="H26" i="11"/>
  <c r="B33" i="11" s="1"/>
  <c r="F11" i="41"/>
  <c r="J11" i="41"/>
  <c r="O11" i="41"/>
  <c r="T11" i="41"/>
  <c r="C37" i="29"/>
  <c r="E10" i="29" s="1"/>
  <c r="B37" i="11" l="1"/>
  <c r="B29" i="11" s="1"/>
  <c r="K11" i="40"/>
  <c r="B15" i="26"/>
  <c r="E21" i="26"/>
  <c r="C32" i="26"/>
  <c r="D14" i="40"/>
  <c r="E5" i="26"/>
  <c r="D11" i="40"/>
  <c r="C16" i="26"/>
  <c r="C37" i="23"/>
  <c r="E10" i="23" s="1"/>
  <c r="C37" i="24"/>
  <c r="E10" i="24" s="1"/>
  <c r="C37" i="25"/>
  <c r="E10" i="25" s="1"/>
  <c r="C37" i="22"/>
  <c r="E10" i="22" s="1"/>
  <c r="C37" i="21"/>
  <c r="E10" i="21" s="1"/>
  <c r="C37" i="19"/>
  <c r="E10" i="19" s="1"/>
  <c r="G22" i="11" l="1"/>
  <c r="G11" i="26" s="1"/>
  <c r="B13" i="26"/>
  <c r="J11" i="40"/>
  <c r="D10" i="11"/>
  <c r="D5" i="26" s="1"/>
  <c r="L11" i="40"/>
  <c r="B16" i="26"/>
  <c r="D32" i="40"/>
  <c r="C128" i="26"/>
  <c r="D29" i="40"/>
  <c r="C112" i="26"/>
  <c r="E69" i="26"/>
  <c r="D23" i="40"/>
  <c r="C80" i="26"/>
  <c r="E53" i="26"/>
  <c r="D20" i="40"/>
  <c r="C64" i="26"/>
  <c r="E37" i="26"/>
  <c r="C48" i="26"/>
  <c r="D17" i="40"/>
  <c r="C96" i="26"/>
  <c r="D26" i="40"/>
  <c r="E85" i="26"/>
  <c r="E117" i="26"/>
  <c r="E101" i="26"/>
  <c r="AB9" i="42" l="1"/>
  <c r="V9" i="42"/>
  <c r="A37" i="29" l="1"/>
  <c r="A32" i="26" s="1"/>
  <c r="H28" i="29"/>
  <c r="H26" i="29"/>
  <c r="B33" i="29" s="1"/>
  <c r="J14" i="41"/>
  <c r="O14" i="41"/>
  <c r="T14" i="41"/>
  <c r="A37" i="23"/>
  <c r="A128" i="26" s="1"/>
  <c r="H28" i="23"/>
  <c r="H26" i="23"/>
  <c r="J32" i="41"/>
  <c r="O32" i="41"/>
  <c r="T32" i="41"/>
  <c r="A37" i="25"/>
  <c r="A112" i="26" s="1"/>
  <c r="H28" i="25"/>
  <c r="H26" i="25"/>
  <c r="A37" i="24"/>
  <c r="A96" i="26" s="1"/>
  <c r="H28" i="24"/>
  <c r="H26" i="24"/>
  <c r="J26" i="41"/>
  <c r="O26" i="41"/>
  <c r="T26" i="41"/>
  <c r="A37" i="22"/>
  <c r="A80" i="26" s="1"/>
  <c r="H28" i="22"/>
  <c r="H26" i="22"/>
  <c r="B33" i="22" s="1"/>
  <c r="A37" i="21"/>
  <c r="A64" i="26" s="1"/>
  <c r="H28" i="21"/>
  <c r="H26" i="21"/>
  <c r="A37" i="19"/>
  <c r="A48" i="26" s="1"/>
  <c r="K23" i="40" l="1"/>
  <c r="B79" i="26"/>
  <c r="K14" i="40"/>
  <c r="B31" i="26"/>
  <c r="B37" i="29"/>
  <c r="B33" i="23"/>
  <c r="B33" i="24"/>
  <c r="B33" i="25"/>
  <c r="B37" i="22"/>
  <c r="B33" i="21"/>
  <c r="K20" i="40" l="1"/>
  <c r="B63" i="26"/>
  <c r="B111" i="26"/>
  <c r="K29" i="40"/>
  <c r="B32" i="26"/>
  <c r="L14" i="40"/>
  <c r="G22" i="22"/>
  <c r="G75" i="26" s="1"/>
  <c r="B80" i="26"/>
  <c r="L23" i="40"/>
  <c r="B127" i="26"/>
  <c r="K32" i="40"/>
  <c r="K26" i="40"/>
  <c r="B95" i="26"/>
  <c r="B29" i="29"/>
  <c r="G22" i="29"/>
  <c r="G27" i="26" s="1"/>
  <c r="B37" i="23"/>
  <c r="B37" i="25"/>
  <c r="B37" i="21"/>
  <c r="B37" i="24"/>
  <c r="B29" i="22"/>
  <c r="G22" i="23" l="1"/>
  <c r="G123" i="26" s="1"/>
  <c r="L32" i="40"/>
  <c r="B128" i="26"/>
  <c r="L29" i="40"/>
  <c r="B112" i="26"/>
  <c r="D10" i="22"/>
  <c r="D69" i="26" s="1"/>
  <c r="J23" i="40"/>
  <c r="B77" i="26"/>
  <c r="G22" i="21"/>
  <c r="G59" i="26" s="1"/>
  <c r="L20" i="40"/>
  <c r="B64" i="26"/>
  <c r="J14" i="40"/>
  <c r="D10" i="29"/>
  <c r="D21" i="26" s="1"/>
  <c r="B29" i="26"/>
  <c r="G22" i="24"/>
  <c r="G91" i="26" s="1"/>
  <c r="L26" i="40"/>
  <c r="B96" i="26"/>
  <c r="G22" i="25"/>
  <c r="G107" i="26" s="1"/>
  <c r="B29" i="21"/>
  <c r="B29" i="25"/>
  <c r="B29" i="23"/>
  <c r="B29" i="24"/>
  <c r="B61" i="26" l="1"/>
  <c r="J20" i="40"/>
  <c r="D10" i="21"/>
  <c r="D53" i="26" s="1"/>
  <c r="J32" i="40"/>
  <c r="B125" i="26"/>
  <c r="D10" i="23"/>
  <c r="D117" i="26" s="1"/>
  <c r="D10" i="25"/>
  <c r="D101" i="26" s="1"/>
  <c r="J29" i="40"/>
  <c r="B109" i="26"/>
  <c r="D10" i="24"/>
  <c r="D85" i="26" s="1"/>
  <c r="J26" i="40"/>
  <c r="B93" i="26"/>
  <c r="H28" i="19" l="1"/>
  <c r="H26" i="19"/>
  <c r="B33" i="19" l="1"/>
  <c r="K17" i="40" l="1"/>
  <c r="B47" i="26"/>
  <c r="B37" i="19"/>
  <c r="B48" i="26" l="1"/>
  <c r="L17" i="40"/>
  <c r="G22" i="19"/>
  <c r="G43" i="26" s="1"/>
  <c r="B29" i="19"/>
  <c r="D10" i="19" l="1"/>
  <c r="D37" i="26" s="1"/>
  <c r="B45" i="26"/>
  <c r="J17" i="40"/>
  <c r="T9" i="42"/>
  <c r="R9" i="42"/>
</calcChain>
</file>

<file path=xl/sharedStrings.xml><?xml version="1.0" encoding="utf-8"?>
<sst xmlns="http://schemas.openxmlformats.org/spreadsheetml/2006/main" count="1614" uniqueCount="458">
  <si>
    <t>MiMi MjMj</t>
  </si>
  <si>
    <t xml:space="preserve">YY GG iw </t>
  </si>
  <si>
    <t xml:space="preserve">AA XX  </t>
  </si>
  <si>
    <t>Ir iX H VV</t>
  </si>
  <si>
    <t>N dd ff</t>
  </si>
  <si>
    <t>2sn Td Td Td</t>
  </si>
  <si>
    <t>5 a P P P</t>
  </si>
  <si>
    <t>7 ww W1 W2</t>
  </si>
  <si>
    <t>7</t>
  </si>
  <si>
    <t>8NsChs hs</t>
  </si>
  <si>
    <t>3 3 3</t>
  </si>
  <si>
    <t>1sn Tx Tx Tx</t>
  </si>
  <si>
    <t>2sn Tn Tn Tn</t>
  </si>
  <si>
    <t>3E j j j</t>
  </si>
  <si>
    <t>5 EEEjE</t>
  </si>
  <si>
    <t>5n Fn Fn Fn</t>
  </si>
  <si>
    <t>6 RRR tr</t>
  </si>
  <si>
    <t xml:space="preserve">6  </t>
  </si>
  <si>
    <t xml:space="preserve">7  </t>
  </si>
  <si>
    <t xml:space="preserve">9  </t>
  </si>
  <si>
    <t>29 UUU</t>
  </si>
  <si>
    <t xml:space="preserve">9 </t>
  </si>
  <si>
    <t xml:space="preserve">555 </t>
  </si>
  <si>
    <t>P 3 Horas</t>
  </si>
  <si>
    <t>P 24 Horas</t>
  </si>
  <si>
    <t>Dif.</t>
  </si>
  <si>
    <t>LL</t>
  </si>
  <si>
    <t>1200Z</t>
  </si>
  <si>
    <t>1500Z</t>
  </si>
  <si>
    <t>1800Z</t>
  </si>
  <si>
    <t>2100Z</t>
  </si>
  <si>
    <t>0000Z</t>
  </si>
  <si>
    <t>0006Z</t>
  </si>
  <si>
    <t>0009Z</t>
  </si>
  <si>
    <t xml:space="preserve"> </t>
  </si>
  <si>
    <t xml:space="preserve">20  </t>
  </si>
  <si>
    <t xml:space="preserve">10  </t>
  </si>
  <si>
    <t>333</t>
  </si>
  <si>
    <t>Ts.</t>
  </si>
  <si>
    <t>Th.</t>
  </si>
  <si>
    <t>Pr.</t>
  </si>
  <si>
    <t>Tv.</t>
  </si>
  <si>
    <t>Hr.</t>
  </si>
  <si>
    <t>Correc. Temp.</t>
  </si>
  <si>
    <t>Pres. Est.</t>
  </si>
  <si>
    <t>8Nh CL CM CH</t>
  </si>
  <si>
    <t xml:space="preserve">4 P P P P </t>
  </si>
  <si>
    <t>7R24R24R24R24</t>
  </si>
  <si>
    <t>56DL DM DH</t>
  </si>
  <si>
    <t>58/59 P24P24P24</t>
  </si>
  <si>
    <t>T Min.</t>
  </si>
  <si>
    <t>Let..</t>
  </si>
  <si>
    <t>Pres. NMM</t>
  </si>
  <si>
    <t>Calculos de Estación</t>
  </si>
  <si>
    <t>1sn T T T</t>
  </si>
  <si>
    <t>8NsChS hs</t>
  </si>
  <si>
    <t>9sp sp sp sp</t>
  </si>
  <si>
    <t>0CS DL DM DH</t>
  </si>
  <si>
    <t>T Máx.</t>
  </si>
  <si>
    <t>Máx. / Min.</t>
  </si>
  <si>
    <t>Máx. / Min. (24 H)</t>
  </si>
  <si>
    <t>P 24</t>
  </si>
  <si>
    <t>P 3</t>
  </si>
  <si>
    <t>Correc. Alt.</t>
  </si>
  <si>
    <t>Let.. Barom.</t>
  </si>
  <si>
    <t>Presión de la Estación</t>
  </si>
  <si>
    <t xml:space="preserve">Instrucciones de llenado </t>
  </si>
  <si>
    <t>El formulario debe ser llenado con letra de molde, en lenguaje codificado. Ampliar estos cristerios en el DOC. OMM No. 306</t>
  </si>
  <si>
    <t>MiMiMjMj</t>
  </si>
  <si>
    <t xml:space="preserve">Grupo que describe el tipo de estacion terrestre </t>
  </si>
  <si>
    <t>AA XX</t>
  </si>
  <si>
    <t>YY GG iw</t>
  </si>
  <si>
    <t>YY – Día del Calendario. GG-  hora Z . iw indicador del origen y unidad de la velocodad del viento (m/s)  (ver Tabla 1855)</t>
  </si>
  <si>
    <t>Fecha</t>
  </si>
  <si>
    <t xml:space="preserve">Colocar la fecha exacta de la observacion </t>
  </si>
  <si>
    <t>lliii</t>
  </si>
  <si>
    <t xml:space="preserve">Indicador de bloque y numero de la estación. </t>
  </si>
  <si>
    <t>ir – Indicador de la inclusión u omisión de los datos de precipitación (Tabla 1819). ix – Indicador del tipo de operación de la estación (dotada de personal o automática) y de la inclusión o no de los datos de tiempo presente y pasado (Tabla 1860). h – Altura, por encima del suelo, de la base de la nube más baja (Tabla 1600). VV – Visibilidad horizontal en superficie  que alcanza ver 16km se le suma 50 para cifrar visibilidad buena (Tabla 4377)</t>
  </si>
  <si>
    <t>N – Total de nubes  (en octavos). dd – Dirección de donde sopla el viento (en decenas de grados). ff – Velocidad de fuerza en (m/s).</t>
  </si>
  <si>
    <t>1sn TTT</t>
  </si>
  <si>
    <t>Temperatura del aire (TTT) en grados y en décimas de grados. El signo está dado por sn. Si es 0, es temperatura positiva y si es 1 es temperatura negativa.</t>
  </si>
  <si>
    <t>Temperatura de punto de rocío (TdTdTd), en grados y en décimas. El signo está dado por sn. Si es 0, es temperatura positiva y si es 1 es temperatura negativa.</t>
  </si>
  <si>
    <t>4 P P P P</t>
  </si>
  <si>
    <t>Presión atmoférica a nivel medio del mar en decima de milibar (PHA)</t>
  </si>
  <si>
    <t xml:space="preserve">5a P P P </t>
  </si>
  <si>
    <t>a – Características de la tendencia de la presión en las 3 horas que preceden a la observación (Tabla 0200). ppp – Valor de la tendencia (en hPa y décimos)</t>
  </si>
  <si>
    <t>Este es el grupo de los fenómenos significativos. La clave ww corresponde a tiempo presente en uana estacion manual (tabla 4677) W1W2 a tiempo pasado (Tabla 4561)</t>
  </si>
  <si>
    <r>
      <rPr>
        <b/>
        <sz val="9"/>
        <color theme="1"/>
        <rFont val="Times New Roman"/>
        <family val="1"/>
      </rPr>
      <t>8</t>
    </r>
    <r>
      <rPr>
        <sz val="9"/>
        <color theme="1"/>
        <rFont val="Times New Roman"/>
        <family val="1"/>
      </rPr>
      <t>: Indicativo del grupo - </t>
    </r>
    <r>
      <rPr>
        <b/>
        <sz val="9"/>
        <color theme="1"/>
        <rFont val="Times New Roman"/>
        <family val="1"/>
      </rPr>
      <t>Nh</t>
    </r>
    <r>
      <rPr>
        <sz val="9"/>
        <color theme="1"/>
        <rFont val="Times New Roman"/>
        <family val="1"/>
      </rPr>
      <t>: Cantidad de todas las nubes CL presentes o, en ausencia de nubes CL de todas las nubes CM presentes (en octavos), 9 indica cielo invisible - </t>
    </r>
    <r>
      <rPr>
        <b/>
        <sz val="9"/>
        <color theme="1"/>
        <rFont val="Times New Roman"/>
        <family val="1"/>
      </rPr>
      <t>CL</t>
    </r>
    <r>
      <rPr>
        <sz val="9"/>
        <color theme="1"/>
        <rFont val="Times New Roman"/>
        <family val="1"/>
      </rPr>
      <t>: Nubes de los géneros Stratocúmulus, Stratus, Cúmulus y Cumulunimbus - </t>
    </r>
    <r>
      <rPr>
        <b/>
        <sz val="9"/>
        <color theme="1"/>
        <rFont val="Times New Roman"/>
        <family val="1"/>
      </rPr>
      <t>CM</t>
    </r>
    <r>
      <rPr>
        <sz val="9"/>
        <color theme="1"/>
        <rFont val="Times New Roman"/>
        <family val="1"/>
      </rPr>
      <t>: Nubes de los géneros Altocúmulus, Altostratus, y Nimbostratus - </t>
    </r>
    <r>
      <rPr>
        <b/>
        <sz val="9"/>
        <color theme="1"/>
        <rFont val="Times New Roman"/>
        <family val="1"/>
      </rPr>
      <t>CH</t>
    </r>
    <r>
      <rPr>
        <sz val="9"/>
        <color theme="1"/>
        <rFont val="Times New Roman"/>
        <family val="1"/>
      </rPr>
      <t>: Nubes de los géneros Cirrus, Cirrocúmulus y Cirrostratus.</t>
    </r>
  </si>
  <si>
    <t xml:space="preserve">Datos para intercambio regional </t>
  </si>
  <si>
    <t>0Cs DL DM DH</t>
  </si>
  <si>
    <t>Cs: Estado del cielo en los tropicos. DLDMDH: Direccion verdadera de donde las nubes se desplazan (Tabla 0700). este grupo solo se incluyen en temporada ciclonica.</t>
  </si>
  <si>
    <t>Temperatura en grados Celsius, se cifra en las horas principales de las observaciones, 06,12,18 00z (cada 6 horas).</t>
  </si>
  <si>
    <t>3Ejjj</t>
  </si>
  <si>
    <t>Estado del suelo 3=Indicativo de grupo E = Se cifra el estado de suelo 1(humedad), 2(charcos) y 3(inundado).jjj = Se cifra en /// y se mantiene como una constante. (tabla 0901)</t>
  </si>
  <si>
    <t>Tanque de evaporación.  5=Indicativo de grupo.  EEE= Indica la calidad de evaporación en decimas de milímetros. iE= Indica el tipo de instrumento para medir la evaporación, tamque tipo A. es una constante por el tipo de tanque que es de 20m2 se lee a  la 12Z</t>
  </si>
  <si>
    <t xml:space="preserve">Para la radiación solar directa durante las 24 hora precedente. </t>
  </si>
  <si>
    <t>56DLDMDH</t>
  </si>
  <si>
    <t xml:space="preserve">Indica la dirección y la deriva de donde provienen las nubes. </t>
  </si>
  <si>
    <t xml:space="preserve">Comportamiento de la presión en 24 horas. 58/59= Se usa el 58 para indicar variación positiiva o nula de la presión durante las últimas 24 horas. 59  indica la variación negativa de la presión durante las últimas 24 horas.  P24P24P24= La variación de la presión. Cuando la presión es la misma en 24h se cifra 5800.  </t>
  </si>
  <si>
    <t>6= Indicativo de grupo. Rrr= Cantidad de precipitación caída durante el periodo que precede a la hora observación requerida 3hrs. (se permite redondeo). Tr=Durante del periodo a que se refiere la calidad de precipitación y que termina a la hora del informe, es cifrada de 1 a 9.</t>
  </si>
  <si>
    <t xml:space="preserve">7= Indicativo de grupo. R24R24R24R24= Se utiliza para la cantidad total de precipitación durante el periodo de 24 horas desde las 15Z hasta día calendario o la hora de la observación.  </t>
  </si>
  <si>
    <t>8= Indicativo de grupo. Ns – Extensión de capa o masa nubosa individual cuyo genero se indica por C. ( Tabla 2700 -hshs – Altura de la base de la capa o masa de  nube (Tabla 1677). C – Tipo de nubes (Tabla 0500).</t>
  </si>
  <si>
    <t xml:space="preserve">Información complementaria. Se utiliza para proporcionar información adicional sobre cientos fenómenos que se producen en el momento en que se efectúa la observación o durante el periodo abarcado por ww o w1w2. </t>
  </si>
  <si>
    <t xml:space="preserve">La forma simbolica y las espeficaciones, se determinan por decisión nacional. </t>
  </si>
  <si>
    <t>Humedad ralativa del aire</t>
  </si>
  <si>
    <t>Cáculos de Estación</t>
  </si>
  <si>
    <t>Termometro Seco</t>
  </si>
  <si>
    <t>Termometro Humedo</t>
  </si>
  <si>
    <t>Diferencia de Ts/Th</t>
  </si>
  <si>
    <t xml:space="preserve">Punto de Rocio </t>
  </si>
  <si>
    <t xml:space="preserve">Tension de  Vapor </t>
  </si>
  <si>
    <t xml:space="preserve">Humeda Relativa </t>
  </si>
  <si>
    <t xml:space="preserve">Presión de la Estación </t>
  </si>
  <si>
    <t>Let.Barom.</t>
  </si>
  <si>
    <t>Lectura del Barometro</t>
  </si>
  <si>
    <t xml:space="preserve">Corrección por temperartura </t>
  </si>
  <si>
    <t xml:space="preserve">Presion en la estacion </t>
  </si>
  <si>
    <t>Correcion Anteriol</t>
  </si>
  <si>
    <t>Presion al nivel del mar</t>
  </si>
  <si>
    <t xml:space="preserve">Presión en 3 horas </t>
  </si>
  <si>
    <t xml:space="preserve">Presión en 24 horas </t>
  </si>
  <si>
    <t xml:space="preserve">Let. </t>
  </si>
  <si>
    <t>Lectura de la presion en el momento.</t>
  </si>
  <si>
    <t>Diferencia de P3/Let.</t>
  </si>
  <si>
    <t>Presion en la estacion en 24 horas</t>
  </si>
  <si>
    <t xml:space="preserve">Lectura de la presion en el  momento. </t>
  </si>
  <si>
    <t>Diferencia de P24/Let.</t>
  </si>
  <si>
    <t xml:space="preserve">Maxima y Minima </t>
  </si>
  <si>
    <t xml:space="preserve">Maxima y Minima en 24 Horas </t>
  </si>
  <si>
    <t>T Max.</t>
  </si>
  <si>
    <t>T MIN.</t>
  </si>
  <si>
    <t>LL.</t>
  </si>
  <si>
    <t>T Max (24)</t>
  </si>
  <si>
    <t>T Min.(24)</t>
  </si>
  <si>
    <t>LL.(24)</t>
  </si>
  <si>
    <t>Temperatura maxima</t>
  </si>
  <si>
    <t xml:space="preserve">Temperatura minima </t>
  </si>
  <si>
    <t xml:space="preserve">Lluvias </t>
  </si>
  <si>
    <t xml:space="preserve">Temperatura maxima en 24 horas </t>
  </si>
  <si>
    <t>Temperatura minima en 24 horas</t>
  </si>
  <si>
    <t xml:space="preserve">Llovias en 24 horas </t>
  </si>
  <si>
    <t>Observador</t>
  </si>
  <si>
    <t>(km)</t>
  </si>
  <si>
    <t>(m/s)</t>
  </si>
  <si>
    <t>%</t>
  </si>
  <si>
    <t>SECO</t>
  </si>
  <si>
    <t>CAR</t>
  </si>
  <si>
    <t>HR</t>
  </si>
  <si>
    <t>3 H. TEND</t>
  </si>
  <si>
    <t>FENÓMENOS</t>
  </si>
  <si>
    <t>TIEMPO PRESENTE</t>
  </si>
  <si>
    <t>VIENTO</t>
  </si>
  <si>
    <t>HUMEDAD</t>
  </si>
  <si>
    <t>HORA LOCAL</t>
  </si>
  <si>
    <t>ts</t>
  </si>
  <si>
    <t>pr</t>
  </si>
  <si>
    <t>tv</t>
  </si>
  <si>
    <t>hr</t>
  </si>
  <si>
    <t>th</t>
  </si>
  <si>
    <t>MIN</t>
  </si>
  <si>
    <t>MAX</t>
  </si>
  <si>
    <t>ESTADO DEL SUELO</t>
  </si>
  <si>
    <t>DIREC</t>
  </si>
  <si>
    <t>TIPO</t>
  </si>
  <si>
    <t>CANT</t>
  </si>
  <si>
    <t>OBSERVACIONES SINÓPTICAS</t>
  </si>
  <si>
    <t xml:space="preserve">0.8 TOTAL </t>
  </si>
  <si>
    <t>NUBES ALTAS</t>
  </si>
  <si>
    <t>NUBES MEDIAS</t>
  </si>
  <si>
    <t>NUBES BAJAS</t>
  </si>
  <si>
    <t>CÚMULONIMBOS</t>
  </si>
  <si>
    <t>N</t>
  </si>
  <si>
    <t>8</t>
  </si>
  <si>
    <t>N.a</t>
  </si>
  <si>
    <t>N.m</t>
  </si>
  <si>
    <t>N.b</t>
  </si>
  <si>
    <t>Cm.</t>
  </si>
  <si>
    <t>HORAS</t>
  </si>
  <si>
    <t>DURACIÓN</t>
  </si>
  <si>
    <t>(mm)</t>
  </si>
  <si>
    <t>INICIALES OBS.</t>
  </si>
  <si>
    <t>TANQUE C.</t>
  </si>
  <si>
    <t>PICHE</t>
  </si>
  <si>
    <t>EVAP. 0.00 A 0.00 HL</t>
  </si>
  <si>
    <t>LECT. BAR (mmhg)</t>
  </si>
  <si>
    <t>(cm)</t>
  </si>
  <si>
    <t>CAL/CM</t>
  </si>
  <si>
    <t>HORA</t>
  </si>
  <si>
    <t>DIR.(16-P)</t>
  </si>
  <si>
    <t>LLUVIA</t>
  </si>
  <si>
    <t>RADIAC</t>
  </si>
  <si>
    <t>HUM. REL. (%)</t>
  </si>
  <si>
    <t>RÁFAGA MÁXIMA</t>
  </si>
  <si>
    <t>9Z</t>
  </si>
  <si>
    <t>6Z</t>
  </si>
  <si>
    <t>FECHA</t>
  </si>
  <si>
    <t>Nubes</t>
  </si>
  <si>
    <t>T. MIN</t>
  </si>
  <si>
    <t>T. MAX</t>
  </si>
  <si>
    <t>Estado suelo</t>
  </si>
  <si>
    <t>Lluvias</t>
  </si>
  <si>
    <t>m a ft C</t>
  </si>
  <si>
    <t>Dirección Nb</t>
  </si>
  <si>
    <t>Nubosidad</t>
  </si>
  <si>
    <t>Cumulo</t>
  </si>
  <si>
    <t>m a ft B</t>
  </si>
  <si>
    <t>m a ft M</t>
  </si>
  <si>
    <t>m a ft A</t>
  </si>
  <si>
    <t>Nubes Bajas</t>
  </si>
  <si>
    <t xml:space="preserve"> Nubes Medias</t>
  </si>
  <si>
    <t>Nubes Altas</t>
  </si>
  <si>
    <t>Pres. Estación</t>
  </si>
  <si>
    <t>5appp</t>
  </si>
  <si>
    <t>4 pppp</t>
  </si>
  <si>
    <t>Tiempo Presente</t>
  </si>
  <si>
    <t>Visibilidad mts</t>
  </si>
  <si>
    <t xml:space="preserve"> Lluvias </t>
  </si>
  <si>
    <t>12Z</t>
  </si>
  <si>
    <t>15Z</t>
  </si>
  <si>
    <t>18Z</t>
  </si>
  <si>
    <t>21Z</t>
  </si>
  <si>
    <t>00Z</t>
  </si>
  <si>
    <t>03Z</t>
  </si>
  <si>
    <t>06Z</t>
  </si>
  <si>
    <t>09Z</t>
  </si>
  <si>
    <t xml:space="preserve"> 7 ww W1 W2</t>
  </si>
  <si>
    <t>9</t>
  </si>
  <si>
    <t>M</t>
  </si>
  <si>
    <t>(16-P)</t>
  </si>
  <si>
    <t>(hPa)</t>
  </si>
  <si>
    <t>°C</t>
  </si>
  <si>
    <t>Dif</t>
  </si>
  <si>
    <t>CALIMA</t>
  </si>
  <si>
    <t>POLVO</t>
  </si>
  <si>
    <t>ROCIO</t>
  </si>
  <si>
    <t>RELAMPAGO</t>
  </si>
  <si>
    <t>TRUENO</t>
  </si>
  <si>
    <t>NEBLINA</t>
  </si>
  <si>
    <t>GRANIZO</t>
  </si>
  <si>
    <t>T VAP</t>
  </si>
  <si>
    <t>PTO R</t>
  </si>
  <si>
    <t>TERMOMETROS</t>
  </si>
  <si>
    <t>NMM</t>
  </si>
  <si>
    <t>VISIBILIDAD</t>
  </si>
  <si>
    <t>TEMPERATURA ºC</t>
  </si>
  <si>
    <t>PRESIÓN (hPa) - 1000</t>
  </si>
  <si>
    <t>6H TOTAL</t>
  </si>
  <si>
    <t xml:space="preserve">TEMPS.           </t>
  </si>
  <si>
    <t>LLUVIA (MM)</t>
  </si>
  <si>
    <t>ALTURA                 BASE               (M)</t>
  </si>
  <si>
    <t>ALTURA BASE               (M)</t>
  </si>
  <si>
    <t>Año:</t>
  </si>
  <si>
    <t>Mes:</t>
  </si>
  <si>
    <t>°</t>
  </si>
  <si>
    <t>dd   16-p</t>
  </si>
  <si>
    <t>INICIALES OBSERV.</t>
  </si>
  <si>
    <t>FINAL</t>
  </si>
  <si>
    <t>INICIO</t>
  </si>
  <si>
    <t xml:space="preserve">      FENOMENOS METEOROLOGICOS</t>
  </si>
  <si>
    <t>INTENSIDAD</t>
  </si>
  <si>
    <t>RAFAGAS          DE VIENTO</t>
  </si>
  <si>
    <t>PRES. NMM</t>
  </si>
  <si>
    <t>CORREC. ALT.</t>
  </si>
  <si>
    <t>EVAPORIGRAFO</t>
  </si>
  <si>
    <t>PRES. EST.</t>
  </si>
  <si>
    <t>CORREC. TEMP.</t>
  </si>
  <si>
    <t>TERM. ANEXO (ºc)</t>
  </si>
  <si>
    <t xml:space="preserve">      </t>
  </si>
  <si>
    <t>TEMPERATURA  SUBSUELO</t>
  </si>
  <si>
    <t>VIENTO (km)</t>
  </si>
  <si>
    <t>Minima</t>
  </si>
  <si>
    <t>Maxima</t>
  </si>
  <si>
    <t>RECORRIDO DEL</t>
  </si>
  <si>
    <t>EVAPOR TANQUE A</t>
  </si>
  <si>
    <t>INSOLAC</t>
  </si>
  <si>
    <t>PRESIÓN ESTACIÓN (hPa)</t>
  </si>
  <si>
    <t>TEMPERATURA ºc</t>
  </si>
  <si>
    <t>VENTARRÓN</t>
  </si>
  <si>
    <t>NIEBLA</t>
  </si>
  <si>
    <t>TORNADO</t>
  </si>
  <si>
    <t>MINUTOS</t>
  </si>
  <si>
    <t>0300Z</t>
  </si>
  <si>
    <t>0600Z</t>
  </si>
  <si>
    <t>0900Z</t>
  </si>
  <si>
    <t>INSTITUTO DOMINICANO DE METEOROLOGÍA (INDOMET)</t>
  </si>
  <si>
    <t>PUNTO DE ROCIO</t>
  </si>
  <si>
    <t>(°C)</t>
  </si>
  <si>
    <t>ff (m/s)</t>
  </si>
  <si>
    <t>Núm. De la estación:</t>
  </si>
  <si>
    <t xml:space="preserve">Latitud: </t>
  </si>
  <si>
    <t>Longitud:</t>
  </si>
  <si>
    <t>W</t>
  </si>
  <si>
    <t>Estación :</t>
  </si>
  <si>
    <t>Día</t>
  </si>
  <si>
    <t>Día:</t>
  </si>
  <si>
    <t>INSTITUTO  DOMINICANO DE METEOROLOGÍA (INDOMET)</t>
  </si>
  <si>
    <t xml:space="preserve">REPÚBLICA DOMINICANA </t>
  </si>
  <si>
    <t>OBSERVACIONES DE SUPERFICIE SINÓPTICA Y AERONÁUTICA</t>
  </si>
  <si>
    <t>VEL.</t>
  </si>
  <si>
    <t>Estación</t>
  </si>
  <si>
    <t>Altímetro</t>
  </si>
  <si>
    <t>HUMEDO</t>
  </si>
  <si>
    <t>REPÚBLICA DOMINICANA</t>
  </si>
  <si>
    <t>INSTITUTO DOMINCANO DE METEOROLOGÍA (INDOMET)</t>
  </si>
  <si>
    <t xml:space="preserve">Altura: </t>
  </si>
  <si>
    <t>Mes</t>
  </si>
  <si>
    <t>Estación:</t>
  </si>
  <si>
    <t>Año</t>
  </si>
  <si>
    <t>Lat:</t>
  </si>
  <si>
    <t>INICIALES DEL OBSERV.</t>
  </si>
  <si>
    <t>Latitud:</t>
  </si>
  <si>
    <t>Altura:</t>
  </si>
  <si>
    <t>Número de la Estación:</t>
  </si>
  <si>
    <t>OBSERVACIONES DE SUPERFICIE SINÓPTICAS Y AERONÁUTICA</t>
  </si>
  <si>
    <t>VEL. (M/S)</t>
  </si>
  <si>
    <t>Max</t>
  </si>
  <si>
    <t>Min</t>
  </si>
  <si>
    <t>Hora Local</t>
  </si>
  <si>
    <r>
      <rPr>
        <b/>
        <sz val="8.6999999999999993"/>
        <rFont val="Times New Roman"/>
        <family val="1"/>
      </rPr>
      <t>ALTURA BASE</t>
    </r>
    <r>
      <rPr>
        <b/>
        <sz val="9"/>
        <rFont val="Times New Roman"/>
        <family val="1"/>
      </rPr>
      <t xml:space="preserve"> (M)</t>
    </r>
  </si>
  <si>
    <t>DIR.</t>
  </si>
  <si>
    <t>Central</t>
  </si>
  <si>
    <t>Monte Cristi</t>
  </si>
  <si>
    <t>Catey</t>
  </si>
  <si>
    <t>Puerto Plata</t>
  </si>
  <si>
    <t>Barahona</t>
  </si>
  <si>
    <t>Sabana de la mar</t>
  </si>
  <si>
    <t>Cabrera</t>
  </si>
  <si>
    <t>Las américas</t>
  </si>
  <si>
    <t>Punta Cana</t>
  </si>
  <si>
    <t>Arroyo Barril</t>
  </si>
  <si>
    <t>Jimaní</t>
  </si>
  <si>
    <t>Bayaguana</t>
  </si>
  <si>
    <t>La Romana</t>
  </si>
  <si>
    <t>Santiago</t>
  </si>
  <si>
    <t>ID</t>
  </si>
  <si>
    <t>NAME</t>
  </si>
  <si>
    <t>LAT</t>
  </si>
  <si>
    <t>LON</t>
  </si>
  <si>
    <t>h</t>
  </si>
  <si>
    <t>Ch</t>
  </si>
  <si>
    <t>MDCY</t>
  </si>
  <si>
    <t>El Higüero</t>
  </si>
  <si>
    <t>No. estación:</t>
  </si>
  <si>
    <t>Lon:</t>
  </si>
  <si>
    <t>Bajas</t>
  </si>
  <si>
    <t>Medias</t>
  </si>
  <si>
    <t>Altas</t>
  </si>
  <si>
    <t>Visibilidad</t>
  </si>
  <si>
    <t>KMC</t>
  </si>
  <si>
    <t>MARZO</t>
  </si>
  <si>
    <t>KATHRYN MENDOZA CASTRO</t>
  </si>
  <si>
    <t>01091</t>
  </si>
  <si>
    <t>01061</t>
  </si>
  <si>
    <t>24.4</t>
  </si>
  <si>
    <t>32466</t>
  </si>
  <si>
    <t>20000</t>
  </si>
  <si>
    <t>56008</t>
  </si>
  <si>
    <t>82200</t>
  </si>
  <si>
    <t>10309</t>
  </si>
  <si>
    <t>20225</t>
  </si>
  <si>
    <t>30///</t>
  </si>
  <si>
    <t>56000</t>
  </si>
  <si>
    <t>82816</t>
  </si>
  <si>
    <t>94086</t>
  </si>
  <si>
    <t>94320</t>
  </si>
  <si>
    <t>94426</t>
  </si>
  <si>
    <t>27.0</t>
  </si>
  <si>
    <t>0.0</t>
  </si>
  <si>
    <t>R</t>
  </si>
  <si>
    <t>A</t>
  </si>
  <si>
    <t>15 MINUTOS</t>
  </si>
  <si>
    <t>23.2</t>
  </si>
  <si>
    <t>21466</t>
  </si>
  <si>
    <t>63602</t>
  </si>
  <si>
    <t>57010</t>
  </si>
  <si>
    <t>72161</t>
  </si>
  <si>
    <t>85870</t>
  </si>
  <si>
    <t>31///</t>
  </si>
  <si>
    <t>69955</t>
  </si>
  <si>
    <t>85615</t>
  </si>
  <si>
    <t>86457</t>
  </si>
  <si>
    <t>90010</t>
  </si>
  <si>
    <t>90107</t>
  </si>
  <si>
    <t>90910</t>
  </si>
  <si>
    <t>94065</t>
  </si>
  <si>
    <t>94140</t>
  </si>
  <si>
    <t>94245</t>
  </si>
  <si>
    <t>94380</t>
  </si>
  <si>
    <t>94486</t>
  </si>
  <si>
    <t>96221</t>
  </si>
  <si>
    <t>0.5</t>
  </si>
  <si>
    <t>YOKASTA MEJIA</t>
  </si>
  <si>
    <t>01121</t>
  </si>
  <si>
    <t>24.0</t>
  </si>
  <si>
    <t>24.5</t>
  </si>
  <si>
    <t>30.9</t>
  </si>
  <si>
    <t>60202</t>
  </si>
  <si>
    <t>52013</t>
  </si>
  <si>
    <t>70261</t>
  </si>
  <si>
    <t>31466</t>
  </si>
  <si>
    <t>84870</t>
  </si>
  <si>
    <t>20230</t>
  </si>
  <si>
    <t>50173</t>
  </si>
  <si>
    <t>70005</t>
  </si>
  <si>
    <t>84616</t>
  </si>
  <si>
    <t>85458</t>
  </si>
  <si>
    <t>94062</t>
  </si>
  <si>
    <t>94246</t>
  </si>
  <si>
    <t>94487</t>
  </si>
  <si>
    <t>YM</t>
  </si>
  <si>
    <t>01151</t>
  </si>
  <si>
    <t>29.0</t>
  </si>
  <si>
    <t>32566</t>
  </si>
  <si>
    <t>51502</t>
  </si>
  <si>
    <t>52010</t>
  </si>
  <si>
    <t>84230</t>
  </si>
  <si>
    <t>56200</t>
  </si>
  <si>
    <t>84820</t>
  </si>
  <si>
    <t>83358</t>
  </si>
  <si>
    <t>94083</t>
  </si>
  <si>
    <t>94130</t>
  </si>
  <si>
    <t>94234</t>
  </si>
  <si>
    <t>94322</t>
  </si>
  <si>
    <t>94427</t>
  </si>
  <si>
    <t>01181</t>
  </si>
  <si>
    <t>30.6</t>
  </si>
  <si>
    <t>31.3</t>
  </si>
  <si>
    <t>71304</t>
  </si>
  <si>
    <t>57015</t>
  </si>
  <si>
    <t>10313</t>
  </si>
  <si>
    <t>85358</t>
  </si>
  <si>
    <t>94080</t>
  </si>
  <si>
    <t>94428</t>
  </si>
  <si>
    <t>01211</t>
  </si>
  <si>
    <t>71204</t>
  </si>
  <si>
    <t>57013</t>
  </si>
  <si>
    <t>83270</t>
  </si>
  <si>
    <t>83820</t>
  </si>
  <si>
    <t>86458</t>
  </si>
  <si>
    <t>94247</t>
  </si>
  <si>
    <t>YASSER GALAN</t>
  </si>
  <si>
    <t>02001</t>
  </si>
  <si>
    <t>61203</t>
  </si>
  <si>
    <t>52015</t>
  </si>
  <si>
    <t>85770</t>
  </si>
  <si>
    <t>85620</t>
  </si>
  <si>
    <t>94067</t>
  </si>
  <si>
    <t>94238</t>
  </si>
  <si>
    <t>94484</t>
  </si>
  <si>
    <t>02031</t>
  </si>
  <si>
    <t>26.2</t>
  </si>
  <si>
    <t>50903</t>
  </si>
  <si>
    <t>84620</t>
  </si>
  <si>
    <t>84358</t>
  </si>
  <si>
    <t>94060</t>
  </si>
  <si>
    <t>94236</t>
  </si>
  <si>
    <t>94488</t>
  </si>
  <si>
    <t>Y.G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</si>
</sst>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(* #,##0.00_);_(* \(#,##0.00\);_(* &quot;-&quot;??_);_(@_)"/>
    <numFmt numFmtId="164" formatCode="0.0"/>
    <numFmt numFmtId="165" formatCode="0.0000000"/>
    <numFmt numFmtId="166" formatCode="00000"/>
    <numFmt numFmtId="167" formatCode="0000"/>
    <numFmt numFmtId="168" formatCode="000.0"/>
    <numFmt numFmtId="169" formatCode="0;[Red]0"/>
    <numFmt numFmtId="170" formatCode="000"/>
    <numFmt numFmtId="171" formatCode="0.0;[Red]0.0"/>
    <numFmt numFmtId="172" formatCode="_(* #,##0.0_);_(* \(#,##0.0\);_(* &quot;-&quot;??_);_(@_)"/>
    <numFmt numFmtId="173" formatCode="0.0_);\(0.0\)"/>
    <numFmt numFmtId="174" formatCode="00"/>
    <numFmt numFmtId="175" formatCode="dd/mm/yyyy;@"/>
    <numFmt numFmtId="176" formatCode="dd/mm/yyyy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Times New Roman"/>
      <family val="1"/>
    </font>
    <font>
      <b/>
      <sz val="9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b/>
      <sz val="9"/>
      <name val="Times New Roman"/>
      <family val="1"/>
    </font>
    <font>
      <b/>
      <sz val="12"/>
      <color theme="1"/>
      <name val="Times New Roman"/>
      <family val="1"/>
    </font>
    <font>
      <sz val="10"/>
      <name val="Arial"/>
      <family val="2"/>
    </font>
    <font>
      <sz val="10"/>
      <name val="Garamond"/>
      <family val="1"/>
    </font>
    <font>
      <b/>
      <sz val="5"/>
      <name val="Times New Roman"/>
      <family val="1"/>
    </font>
    <font>
      <sz val="8"/>
      <name val="Garamond"/>
      <family val="1"/>
    </font>
    <font>
      <b/>
      <i/>
      <sz val="12"/>
      <name val="Garamond"/>
      <family val="1"/>
    </font>
    <font>
      <sz val="11"/>
      <color rgb="FFFF0000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6"/>
      <color rgb="FF000000"/>
      <name val="Arial Black"/>
      <family val="2"/>
    </font>
    <font>
      <sz val="8"/>
      <name val="Arial"/>
      <family val="2"/>
    </font>
    <font>
      <b/>
      <i/>
      <sz val="8"/>
      <name val="Garamond"/>
      <family val="1"/>
    </font>
    <font>
      <i/>
      <sz val="8"/>
      <name val="Garamond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b/>
      <sz val="11"/>
      <name val="Times New Roman"/>
      <family val="1"/>
    </font>
    <font>
      <b/>
      <sz val="8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sz val="9"/>
      <name val="Times New Roman"/>
      <family val="1"/>
    </font>
    <font>
      <b/>
      <sz val="7"/>
      <name val="Times New Roman"/>
      <family val="1"/>
    </font>
    <font>
      <sz val="7"/>
      <name val="Times New Roman"/>
      <family val="1"/>
    </font>
    <font>
      <b/>
      <sz val="6"/>
      <name val="Times New Roman"/>
      <family val="1"/>
    </font>
    <font>
      <b/>
      <sz val="13"/>
      <name val="Times New Roman"/>
      <family val="1"/>
    </font>
    <font>
      <b/>
      <sz val="7.5"/>
      <name val="Times New Roman"/>
      <family val="1"/>
    </font>
    <font>
      <sz val="12"/>
      <name val="Times New Roman"/>
      <family val="1"/>
    </font>
    <font>
      <sz val="6"/>
      <name val="Times New Roman"/>
      <family val="1"/>
    </font>
    <font>
      <b/>
      <sz val="14"/>
      <name val="Times New Roman"/>
      <family val="1"/>
    </font>
    <font>
      <b/>
      <sz val="8.6999999999999993"/>
      <name val="Times New Roman"/>
      <family val="1"/>
    </font>
    <font>
      <sz val="8"/>
      <name val="Calibri"/>
      <family val="2"/>
      <scheme val="minor"/>
    </font>
    <font>
      <b/>
      <sz val="2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EA2B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/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/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thick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ck">
        <color indexed="64"/>
      </right>
      <top/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</cellStyleXfs>
  <cellXfs count="66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0" fillId="10" borderId="0" xfId="0" applyFill="1"/>
    <xf numFmtId="0" fontId="0" fillId="10" borderId="0" xfId="0" applyFill="1" applyAlignment="1">
      <alignment horizontal="right"/>
    </xf>
    <xf numFmtId="0" fontId="0" fillId="10" borderId="0" xfId="0" applyFill="1" applyAlignment="1">
      <alignment horizontal="left"/>
    </xf>
    <xf numFmtId="0" fontId="4" fillId="0" borderId="0" xfId="0" applyFont="1" applyProtection="1">
      <protection locked="0"/>
    </xf>
    <xf numFmtId="0" fontId="0" fillId="3" borderId="1" xfId="0" applyFill="1" applyBorder="1" applyProtection="1">
      <protection locked="0"/>
    </xf>
    <xf numFmtId="0" fontId="8" fillId="0" borderId="34" xfId="0" applyFont="1" applyBorder="1"/>
    <xf numFmtId="0" fontId="11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40" xfId="0" applyFont="1" applyBorder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 vertical="top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top"/>
    </xf>
    <xf numFmtId="0" fontId="12" fillId="18" borderId="1" xfId="0" applyFont="1" applyFill="1" applyBorder="1" applyAlignment="1">
      <alignment horizontal="center"/>
    </xf>
    <xf numFmtId="0" fontId="11" fillId="19" borderId="1" xfId="0" applyFont="1" applyFill="1" applyBorder="1" applyAlignment="1">
      <alignment vertical="top" wrapText="1"/>
    </xf>
    <xf numFmtId="0" fontId="11" fillId="19" borderId="1" xfId="0" applyFont="1" applyFill="1" applyBorder="1"/>
    <xf numFmtId="0" fontId="11" fillId="19" borderId="1" xfId="0" applyFont="1" applyFill="1" applyBorder="1" applyAlignment="1">
      <alignment vertical="center"/>
    </xf>
    <xf numFmtId="0" fontId="11" fillId="19" borderId="1" xfId="0" applyFont="1" applyFill="1" applyBorder="1" applyAlignment="1">
      <alignment wrapText="1"/>
    </xf>
    <xf numFmtId="0" fontId="11" fillId="19" borderId="1" xfId="0" applyFont="1" applyFill="1" applyBorder="1" applyAlignment="1">
      <alignment horizontal="center" vertical="top"/>
    </xf>
    <xf numFmtId="0" fontId="11" fillId="19" borderId="1" xfId="0" applyFont="1" applyFill="1" applyBorder="1" applyAlignment="1">
      <alignment vertical="top"/>
    </xf>
    <xf numFmtId="0" fontId="8" fillId="18" borderId="35" xfId="0" applyFont="1" applyFill="1" applyBorder="1" applyAlignment="1">
      <alignment horizontal="left" vertical="top" wrapText="1"/>
    </xf>
    <xf numFmtId="0" fontId="8" fillId="18" borderId="37" xfId="0" applyFont="1" applyFill="1" applyBorder="1" applyAlignment="1">
      <alignment horizontal="left" vertical="top" wrapText="1"/>
    </xf>
    <xf numFmtId="0" fontId="8" fillId="18" borderId="1" xfId="0" applyFont="1" applyFill="1" applyBorder="1" applyAlignment="1">
      <alignment horizontal="left" vertical="top"/>
    </xf>
    <xf numFmtId="0" fontId="12" fillId="18" borderId="1" xfId="0" applyFont="1" applyFill="1" applyBorder="1" applyAlignment="1">
      <alignment horizontal="left" vertical="center"/>
    </xf>
    <xf numFmtId="0" fontId="12" fillId="18" borderId="1" xfId="0" applyFont="1" applyFill="1" applyBorder="1" applyAlignment="1">
      <alignment horizontal="left" vertical="top"/>
    </xf>
    <xf numFmtId="0" fontId="12" fillId="18" borderId="1" xfId="0" applyFont="1" applyFill="1" applyBorder="1" applyAlignment="1">
      <alignment horizontal="left" vertical="top" wrapText="1"/>
    </xf>
    <xf numFmtId="0" fontId="8" fillId="18" borderId="1" xfId="0" applyFont="1" applyFill="1" applyBorder="1" applyAlignment="1">
      <alignment horizontal="left"/>
    </xf>
    <xf numFmtId="0" fontId="8" fillId="18" borderId="1" xfId="0" applyFont="1" applyFill="1" applyBorder="1" applyAlignment="1">
      <alignment horizontal="left" vertical="center"/>
    </xf>
    <xf numFmtId="0" fontId="12" fillId="18" borderId="1" xfId="0" applyFont="1" applyFill="1" applyBorder="1" applyAlignment="1">
      <alignment horizontal="left"/>
    </xf>
    <xf numFmtId="0" fontId="7" fillId="22" borderId="1" xfId="0" applyFont="1" applyFill="1" applyBorder="1" applyAlignment="1">
      <alignment horizontal="center"/>
    </xf>
    <xf numFmtId="0" fontId="7" fillId="22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/>
    </xf>
    <xf numFmtId="0" fontId="11" fillId="19" borderId="1" xfId="0" applyFont="1" applyFill="1" applyBorder="1" applyAlignment="1">
      <alignment horizontal="left" vertical="top" wrapText="1"/>
    </xf>
    <xf numFmtId="0" fontId="11" fillId="19" borderId="1" xfId="0" applyFont="1" applyFill="1" applyBorder="1" applyAlignment="1">
      <alignment horizontal="left" vertical="center" wrapText="1"/>
    </xf>
    <xf numFmtId="0" fontId="0" fillId="0" borderId="0" xfId="0" applyProtection="1">
      <protection hidden="1"/>
    </xf>
    <xf numFmtId="0" fontId="19" fillId="0" borderId="0" xfId="0" applyFont="1"/>
    <xf numFmtId="0" fontId="4" fillId="0" borderId="0" xfId="0" applyFont="1" applyProtection="1">
      <protection locked="0" hidden="1"/>
    </xf>
    <xf numFmtId="0" fontId="4" fillId="0" borderId="0" xfId="0" applyFont="1" applyProtection="1">
      <protection hidden="1"/>
    </xf>
    <xf numFmtId="0" fontId="4" fillId="0" borderId="0" xfId="2" applyNumberFormat="1" applyFont="1" applyAlignment="1" applyProtection="1">
      <alignment wrapText="1"/>
      <protection hidden="1"/>
    </xf>
    <xf numFmtId="0" fontId="15" fillId="0" borderId="0" xfId="3" applyFont="1" applyProtection="1">
      <protection locked="0"/>
    </xf>
    <xf numFmtId="0" fontId="19" fillId="0" borderId="0" xfId="0" applyFont="1" applyProtection="1">
      <protection hidden="1"/>
    </xf>
    <xf numFmtId="0" fontId="13" fillId="0" borderId="0" xfId="0" applyFont="1" applyProtection="1">
      <protection hidden="1"/>
    </xf>
    <xf numFmtId="165" fontId="4" fillId="0" borderId="0" xfId="0" applyNumberFormat="1" applyFont="1" applyProtection="1">
      <protection hidden="1"/>
    </xf>
    <xf numFmtId="164" fontId="4" fillId="0" borderId="0" xfId="0" applyNumberFormat="1" applyFont="1" applyProtection="1">
      <protection hidden="1"/>
    </xf>
    <xf numFmtId="49" fontId="4" fillId="0" borderId="0" xfId="0" applyNumberFormat="1" applyFont="1" applyProtection="1">
      <protection locked="0" hidden="1"/>
    </xf>
    <xf numFmtId="0" fontId="15" fillId="0" borderId="0" xfId="3" applyFont="1" applyProtection="1">
      <protection hidden="1"/>
    </xf>
    <xf numFmtId="0" fontId="15" fillId="0" borderId="44" xfId="3" applyFont="1" applyBorder="1" applyProtection="1">
      <protection hidden="1"/>
    </xf>
    <xf numFmtId="0" fontId="14" fillId="0" borderId="0" xfId="3" applyProtection="1">
      <protection hidden="1"/>
    </xf>
    <xf numFmtId="0" fontId="14" fillId="23" borderId="0" xfId="3" applyFill="1" applyProtection="1">
      <protection hidden="1"/>
    </xf>
    <xf numFmtId="0" fontId="14" fillId="0" borderId="0" xfId="3" applyAlignment="1" applyProtection="1">
      <alignment horizontal="center"/>
      <protection hidden="1"/>
    </xf>
    <xf numFmtId="0" fontId="19" fillId="0" borderId="0" xfId="0" applyFont="1" applyProtection="1">
      <protection locked="0" hidden="1"/>
    </xf>
    <xf numFmtId="49" fontId="19" fillId="0" borderId="0" xfId="0" applyNumberFormat="1" applyFont="1" applyProtection="1">
      <protection locked="0" hidden="1"/>
    </xf>
    <xf numFmtId="0" fontId="19" fillId="0" borderId="0" xfId="2" applyNumberFormat="1" applyFont="1" applyAlignment="1" applyProtection="1">
      <alignment wrapText="1"/>
      <protection hidden="1"/>
    </xf>
    <xf numFmtId="0" fontId="19" fillId="0" borderId="0" xfId="0" applyFont="1" applyAlignment="1" applyProtection="1">
      <alignment horizontal="right"/>
      <protection hidden="1"/>
    </xf>
    <xf numFmtId="49" fontId="20" fillId="17" borderId="1" xfId="0" applyNumberFormat="1" applyFont="1" applyFill="1" applyBorder="1" applyAlignment="1" applyProtection="1">
      <alignment horizontal="center" vertical="center"/>
      <protection locked="0"/>
    </xf>
    <xf numFmtId="0" fontId="20" fillId="17" borderId="1" xfId="0" applyFont="1" applyFill="1" applyBorder="1" applyAlignment="1" applyProtection="1">
      <alignment horizontal="center"/>
      <protection locked="0"/>
    </xf>
    <xf numFmtId="0" fontId="20" fillId="17" borderId="1" xfId="0" applyFont="1" applyFill="1" applyBorder="1" applyAlignment="1" applyProtection="1">
      <alignment horizontal="center" vertical="center"/>
      <protection locked="0"/>
    </xf>
    <xf numFmtId="164" fontId="20" fillId="17" borderId="1" xfId="0" applyNumberFormat="1" applyFont="1" applyFill="1" applyBorder="1" applyAlignment="1" applyProtection="1">
      <alignment horizontal="center" vertical="center"/>
      <protection locked="0"/>
    </xf>
    <xf numFmtId="164" fontId="20" fillId="17" borderId="1" xfId="0" applyNumberFormat="1" applyFont="1" applyFill="1" applyBorder="1" applyAlignment="1" applyProtection="1">
      <alignment horizontal="center" vertical="center"/>
      <protection hidden="1"/>
    </xf>
    <xf numFmtId="164" fontId="20" fillId="17" borderId="1" xfId="2" applyNumberFormat="1" applyFont="1" applyFill="1" applyBorder="1" applyAlignment="1" applyProtection="1">
      <alignment horizontal="center" vertical="center"/>
      <protection locked="0"/>
    </xf>
    <xf numFmtId="1" fontId="20" fillId="17" borderId="1" xfId="0" applyNumberFormat="1" applyFont="1" applyFill="1" applyBorder="1" applyAlignment="1" applyProtection="1">
      <alignment horizontal="center" vertical="center"/>
      <protection hidden="1"/>
    </xf>
    <xf numFmtId="164" fontId="20" fillId="17" borderId="1" xfId="0" applyNumberFormat="1" applyFont="1" applyFill="1" applyBorder="1" applyAlignment="1" applyProtection="1">
      <alignment horizontal="center"/>
      <protection hidden="1"/>
    </xf>
    <xf numFmtId="49" fontId="21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0" fillId="19" borderId="1" xfId="0" applyFill="1" applyBorder="1"/>
    <xf numFmtId="164" fontId="0" fillId="0" borderId="1" xfId="0" applyNumberFormat="1" applyBorder="1"/>
    <xf numFmtId="0" fontId="0" fillId="24" borderId="1" xfId="0" applyFill="1" applyBorder="1"/>
    <xf numFmtId="0" fontId="0" fillId="25" borderId="1" xfId="0" applyFill="1" applyBorder="1"/>
    <xf numFmtId="164" fontId="0" fillId="0" borderId="37" xfId="0" applyNumberFormat="1" applyBorder="1"/>
    <xf numFmtId="0" fontId="0" fillId="0" borderId="37" xfId="0" applyBorder="1"/>
    <xf numFmtId="0" fontId="0" fillId="0" borderId="36" xfId="0" applyBorder="1"/>
    <xf numFmtId="0" fontId="0" fillId="19" borderId="36" xfId="0" applyFill="1" applyBorder="1"/>
    <xf numFmtId="0" fontId="0" fillId="24" borderId="36" xfId="0" applyFill="1" applyBorder="1"/>
    <xf numFmtId="0" fontId="0" fillId="24" borderId="47" xfId="0" applyFill="1" applyBorder="1"/>
    <xf numFmtId="166" fontId="0" fillId="0" borderId="1" xfId="2" applyNumberFormat="1" applyFont="1" applyBorder="1"/>
    <xf numFmtId="166" fontId="0" fillId="0" borderId="1" xfId="0" applyNumberFormat="1" applyBorder="1"/>
    <xf numFmtId="168" fontId="0" fillId="25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9" borderId="47" xfId="0" applyFill="1" applyBorder="1"/>
    <xf numFmtId="0" fontId="20" fillId="17" borderId="1" xfId="0" applyFont="1" applyFill="1" applyBorder="1" applyAlignment="1" applyProtection="1">
      <alignment horizontal="center" vertical="center"/>
      <protection hidden="1"/>
    </xf>
    <xf numFmtId="0" fontId="20" fillId="17" borderId="1" xfId="1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/>
    <xf numFmtId="0" fontId="0" fillId="6" borderId="4" xfId="0" applyFill="1" applyBorder="1" applyAlignment="1" applyProtection="1">
      <alignment horizontal="left"/>
      <protection locked="0" hidden="1"/>
    </xf>
    <xf numFmtId="0" fontId="0" fillId="6" borderId="5" xfId="0" applyFill="1" applyBorder="1" applyAlignment="1" applyProtection="1">
      <alignment horizontal="left"/>
      <protection locked="0" hidden="1"/>
    </xf>
    <xf numFmtId="14" fontId="0" fillId="6" borderId="5" xfId="0" applyNumberFormat="1" applyFill="1" applyBorder="1" applyAlignment="1" applyProtection="1">
      <alignment horizontal="left"/>
      <protection locked="0" hidden="1"/>
    </xf>
    <xf numFmtId="0" fontId="0" fillId="4" borderId="7" xfId="0" applyFill="1" applyBorder="1" applyAlignment="1" applyProtection="1">
      <alignment horizontal="left"/>
      <protection locked="0" hidden="1"/>
    </xf>
    <xf numFmtId="0" fontId="0" fillId="4" borderId="2" xfId="0" applyFill="1" applyBorder="1" applyAlignment="1" applyProtection="1">
      <alignment horizontal="left"/>
      <protection locked="0" hidden="1"/>
    </xf>
    <xf numFmtId="0" fontId="0" fillId="4" borderId="8" xfId="0" applyFill="1" applyBorder="1" applyAlignment="1" applyProtection="1">
      <alignment horizontal="left"/>
      <protection locked="0" hidden="1"/>
    </xf>
    <xf numFmtId="0" fontId="0" fillId="6" borderId="7" xfId="0" applyFill="1" applyBorder="1" applyAlignment="1" applyProtection="1">
      <alignment horizontal="left"/>
      <protection locked="0" hidden="1"/>
    </xf>
    <xf numFmtId="0" fontId="0" fillId="6" borderId="2" xfId="0" applyFill="1" applyBorder="1" applyAlignment="1" applyProtection="1">
      <alignment horizontal="left"/>
      <protection locked="0" hidden="1"/>
    </xf>
    <xf numFmtId="0" fontId="0" fillId="6" borderId="8" xfId="0" applyFill="1" applyBorder="1" applyAlignment="1" applyProtection="1">
      <alignment horizontal="left"/>
      <protection locked="0" hidden="1"/>
    </xf>
    <xf numFmtId="49" fontId="0" fillId="4" borderId="7" xfId="0" applyNumberFormat="1" applyFill="1" applyBorder="1" applyAlignment="1" applyProtection="1">
      <alignment horizontal="left"/>
      <protection locked="0" hidden="1"/>
    </xf>
    <xf numFmtId="49" fontId="0" fillId="4" borderId="2" xfId="0" applyNumberFormat="1" applyFill="1" applyBorder="1" applyAlignment="1" applyProtection="1">
      <alignment horizontal="left"/>
      <protection locked="0" hidden="1"/>
    </xf>
    <xf numFmtId="49" fontId="0" fillId="4" borderId="8" xfId="0" applyNumberFormat="1" applyFill="1" applyBorder="1" applyAlignment="1" applyProtection="1">
      <alignment horizontal="left"/>
      <protection locked="0" hidden="1"/>
    </xf>
    <xf numFmtId="49" fontId="0" fillId="6" borderId="7" xfId="0" applyNumberFormat="1" applyFill="1" applyBorder="1" applyAlignment="1" applyProtection="1">
      <alignment horizontal="left"/>
      <protection locked="0" hidden="1"/>
    </xf>
    <xf numFmtId="49" fontId="0" fillId="6" borderId="2" xfId="0" applyNumberFormat="1" applyFill="1" applyBorder="1" applyAlignment="1" applyProtection="1">
      <alignment horizontal="left"/>
      <protection locked="0" hidden="1"/>
    </xf>
    <xf numFmtId="49" fontId="0" fillId="6" borderId="8" xfId="0" applyNumberFormat="1" applyFill="1" applyBorder="1" applyAlignment="1" applyProtection="1">
      <alignment horizontal="left"/>
      <protection locked="0" hidden="1"/>
    </xf>
    <xf numFmtId="0" fontId="0" fillId="4" borderId="13" xfId="0" applyFill="1" applyBorder="1" applyAlignment="1" applyProtection="1">
      <alignment horizontal="left"/>
      <protection locked="0" hidden="1"/>
    </xf>
    <xf numFmtId="0" fontId="0" fillId="6" borderId="13" xfId="0" applyFill="1" applyBorder="1" applyAlignment="1" applyProtection="1">
      <alignment horizontal="left"/>
      <protection locked="0" hidden="1"/>
    </xf>
    <xf numFmtId="49" fontId="0" fillId="4" borderId="13" xfId="0" applyNumberFormat="1" applyFill="1" applyBorder="1" applyAlignment="1" applyProtection="1">
      <alignment horizontal="left"/>
      <protection locked="0" hidden="1"/>
    </xf>
    <xf numFmtId="0" fontId="0" fillId="4" borderId="28" xfId="0" applyFill="1" applyBorder="1" applyAlignment="1" applyProtection="1">
      <alignment horizontal="left"/>
      <protection locked="0" hidden="1"/>
    </xf>
    <xf numFmtId="0" fontId="0" fillId="4" borderId="26" xfId="0" applyFill="1" applyBorder="1" applyAlignment="1" applyProtection="1">
      <alignment horizontal="left"/>
      <protection locked="0" hidden="1"/>
    </xf>
    <xf numFmtId="0" fontId="0" fillId="6" borderId="31" xfId="0" applyFill="1" applyBorder="1" applyAlignment="1" applyProtection="1">
      <alignment horizontal="left"/>
      <protection locked="0" hidden="1"/>
    </xf>
    <xf numFmtId="0" fontId="0" fillId="6" borderId="32" xfId="0" applyFill="1" applyBorder="1" applyAlignment="1" applyProtection="1">
      <alignment horizontal="left"/>
      <protection locked="0" hidden="1"/>
    </xf>
    <xf numFmtId="14" fontId="0" fillId="6" borderId="32" xfId="0" applyNumberFormat="1" applyFill="1" applyBorder="1" applyAlignment="1" applyProtection="1">
      <alignment horizontal="left"/>
      <protection locked="0" hidden="1"/>
    </xf>
    <xf numFmtId="0" fontId="0" fillId="6" borderId="15" xfId="0" applyFill="1" applyBorder="1" applyAlignment="1" applyProtection="1">
      <alignment horizontal="left"/>
      <protection locked="0" hidden="1"/>
    </xf>
    <xf numFmtId="14" fontId="0" fillId="6" borderId="15" xfId="0" applyNumberFormat="1" applyFill="1" applyBorder="1" applyAlignment="1" applyProtection="1">
      <alignment horizontal="left"/>
      <protection locked="0" hidden="1"/>
    </xf>
    <xf numFmtId="0" fontId="0" fillId="4" borderId="3" xfId="0" applyFill="1" applyBorder="1" applyAlignment="1" applyProtection="1">
      <alignment horizontal="left"/>
      <protection locked="0" hidden="1"/>
    </xf>
    <xf numFmtId="0" fontId="0" fillId="6" borderId="3" xfId="0" applyFill="1" applyBorder="1" applyAlignment="1" applyProtection="1">
      <alignment horizontal="left"/>
      <protection locked="0" hidden="1"/>
    </xf>
    <xf numFmtId="49" fontId="0" fillId="4" borderId="3" xfId="0" applyNumberFormat="1" applyFill="1" applyBorder="1" applyAlignment="1" applyProtection="1">
      <alignment horizontal="left"/>
      <protection locked="0" hidden="1"/>
    </xf>
    <xf numFmtId="0" fontId="0" fillId="6" borderId="27" xfId="0" applyFill="1" applyBorder="1" applyAlignment="1" applyProtection="1">
      <alignment horizontal="left"/>
      <protection locked="0" hidden="1"/>
    </xf>
    <xf numFmtId="0" fontId="0" fillId="6" borderId="25" xfId="0" applyFill="1" applyBorder="1" applyAlignment="1" applyProtection="1">
      <alignment horizontal="left"/>
      <protection locked="0" hidden="1"/>
    </xf>
    <xf numFmtId="14" fontId="0" fillId="6" borderId="25" xfId="0" applyNumberFormat="1" applyFill="1" applyBorder="1" applyAlignment="1" applyProtection="1">
      <alignment horizontal="left"/>
      <protection locked="0" hidden="1"/>
    </xf>
    <xf numFmtId="0" fontId="0" fillId="4" borderId="29" xfId="0" applyFill="1" applyBorder="1" applyAlignment="1" applyProtection="1">
      <alignment horizontal="left"/>
      <protection locked="0" hidden="1"/>
    </xf>
    <xf numFmtId="0" fontId="0" fillId="6" borderId="28" xfId="0" applyFill="1" applyBorder="1" applyAlignment="1" applyProtection="1">
      <alignment horizontal="left"/>
      <protection locked="0" hidden="1"/>
    </xf>
    <xf numFmtId="0" fontId="0" fillId="6" borderId="26" xfId="0" applyFill="1" applyBorder="1" applyAlignment="1" applyProtection="1">
      <alignment horizontal="left"/>
      <protection locked="0" hidden="1"/>
    </xf>
    <xf numFmtId="0" fontId="0" fillId="6" borderId="29" xfId="0" applyFill="1" applyBorder="1" applyAlignment="1" applyProtection="1">
      <alignment horizontal="left"/>
      <protection locked="0" hidden="1"/>
    </xf>
    <xf numFmtId="49" fontId="0" fillId="4" borderId="28" xfId="0" applyNumberFormat="1" applyFill="1" applyBorder="1" applyAlignment="1" applyProtection="1">
      <alignment horizontal="left"/>
      <protection locked="0" hidden="1"/>
    </xf>
    <xf numFmtId="49" fontId="0" fillId="4" borderId="26" xfId="0" applyNumberFormat="1" applyFill="1" applyBorder="1" applyAlignment="1" applyProtection="1">
      <alignment horizontal="left"/>
      <protection locked="0" hidden="1"/>
    </xf>
    <xf numFmtId="49" fontId="0" fillId="4" borderId="29" xfId="0" applyNumberFormat="1" applyFill="1" applyBorder="1" applyAlignment="1" applyProtection="1">
      <alignment horizontal="left"/>
      <protection locked="0" hidden="1"/>
    </xf>
    <xf numFmtId="0" fontId="6" fillId="15" borderId="4" xfId="0" applyFont="1" applyFill="1" applyBorder="1" applyAlignment="1" applyProtection="1">
      <alignment horizontal="left"/>
      <protection locked="0" hidden="1"/>
    </xf>
    <xf numFmtId="0" fontId="6" fillId="15" borderId="5" xfId="0" applyFont="1" applyFill="1" applyBorder="1" applyAlignment="1" applyProtection="1">
      <alignment horizontal="left"/>
      <protection locked="0" hidden="1"/>
    </xf>
    <xf numFmtId="14" fontId="6" fillId="15" borderId="15" xfId="0" applyNumberFormat="1" applyFont="1" applyFill="1" applyBorder="1" applyAlignment="1" applyProtection="1">
      <alignment horizontal="left"/>
      <protection locked="0" hidden="1"/>
    </xf>
    <xf numFmtId="49" fontId="6" fillId="16" borderId="7" xfId="0" applyNumberFormat="1" applyFont="1" applyFill="1" applyBorder="1" applyAlignment="1" applyProtection="1">
      <alignment horizontal="left"/>
      <protection locked="0" hidden="1"/>
    </xf>
    <xf numFmtId="49" fontId="6" fillId="16" borderId="3" xfId="0" applyNumberFormat="1" applyFont="1" applyFill="1" applyBorder="1" applyAlignment="1" applyProtection="1">
      <alignment horizontal="left"/>
      <protection locked="0" hidden="1"/>
    </xf>
    <xf numFmtId="49" fontId="6" fillId="16" borderId="2" xfId="0" applyNumberFormat="1" applyFont="1" applyFill="1" applyBorder="1" applyAlignment="1" applyProtection="1">
      <alignment horizontal="left"/>
      <protection locked="0" hidden="1"/>
    </xf>
    <xf numFmtId="49" fontId="6" fillId="16" borderId="8" xfId="0" applyNumberFormat="1" applyFont="1" applyFill="1" applyBorder="1" applyAlignment="1" applyProtection="1">
      <alignment horizontal="left"/>
      <protection locked="0" hidden="1"/>
    </xf>
    <xf numFmtId="49" fontId="6" fillId="15" borderId="7" xfId="0" applyNumberFormat="1" applyFont="1" applyFill="1" applyBorder="1" applyAlignment="1" applyProtection="1">
      <alignment horizontal="left"/>
      <protection locked="0" hidden="1"/>
    </xf>
    <xf numFmtId="49" fontId="6" fillId="15" borderId="3" xfId="0" applyNumberFormat="1" applyFont="1" applyFill="1" applyBorder="1" applyAlignment="1" applyProtection="1">
      <alignment horizontal="left"/>
      <protection locked="0" hidden="1"/>
    </xf>
    <xf numFmtId="49" fontId="6" fillId="15" borderId="2" xfId="0" applyNumberFormat="1" applyFont="1" applyFill="1" applyBorder="1" applyAlignment="1" applyProtection="1">
      <alignment horizontal="left"/>
      <protection locked="0" hidden="1"/>
    </xf>
    <xf numFmtId="49" fontId="6" fillId="15" borderId="8" xfId="0" applyNumberFormat="1" applyFont="1" applyFill="1" applyBorder="1" applyAlignment="1" applyProtection="1">
      <alignment horizontal="left"/>
      <protection locked="0" hidden="1"/>
    </xf>
    <xf numFmtId="0" fontId="0" fillId="6" borderId="9" xfId="0" applyFill="1" applyBorder="1" applyAlignment="1" applyProtection="1">
      <alignment horizontal="left"/>
      <protection locked="0" hidden="1"/>
    </xf>
    <xf numFmtId="0" fontId="0" fillId="6" borderId="10" xfId="0" applyFill="1" applyBorder="1" applyAlignment="1" applyProtection="1">
      <alignment horizontal="left"/>
      <protection locked="0" hidden="1"/>
    </xf>
    <xf numFmtId="49" fontId="0" fillId="6" borderId="9" xfId="0" applyNumberFormat="1" applyFill="1" applyBorder="1" applyAlignment="1" applyProtection="1">
      <alignment horizontal="left"/>
      <protection locked="0" hidden="1"/>
    </xf>
    <xf numFmtId="49" fontId="0" fillId="6" borderId="10" xfId="0" applyNumberFormat="1" applyFill="1" applyBorder="1" applyAlignment="1" applyProtection="1">
      <alignment horizontal="left"/>
      <protection locked="0" hidden="1"/>
    </xf>
    <xf numFmtId="49" fontId="0" fillId="6" borderId="11" xfId="0" applyNumberFormat="1" applyFill="1" applyBorder="1" applyAlignment="1" applyProtection="1">
      <alignment horizontal="left"/>
      <protection locked="0" hidden="1"/>
    </xf>
    <xf numFmtId="49" fontId="0" fillId="6" borderId="13" xfId="0" applyNumberFormat="1" applyFill="1" applyBorder="1" applyAlignment="1" applyProtection="1">
      <alignment horizontal="left"/>
      <protection locked="0" hidden="1"/>
    </xf>
    <xf numFmtId="0" fontId="0" fillId="6" borderId="16" xfId="0" applyFill="1" applyBorder="1" applyAlignment="1" applyProtection="1">
      <alignment horizontal="left"/>
      <protection locked="0" hidden="1"/>
    </xf>
    <xf numFmtId="49" fontId="6" fillId="26" borderId="7" xfId="0" applyNumberFormat="1" applyFont="1" applyFill="1" applyBorder="1" applyAlignment="1" applyProtection="1">
      <alignment horizontal="left"/>
      <protection locked="0" hidden="1"/>
    </xf>
    <xf numFmtId="49" fontId="6" fillId="26" borderId="3" xfId="0" applyNumberFormat="1" applyFont="1" applyFill="1" applyBorder="1" applyAlignment="1" applyProtection="1">
      <alignment horizontal="left"/>
      <protection locked="0" hidden="1"/>
    </xf>
    <xf numFmtId="49" fontId="6" fillId="26" borderId="2" xfId="0" applyNumberFormat="1" applyFont="1" applyFill="1" applyBorder="1" applyAlignment="1" applyProtection="1">
      <alignment horizontal="left"/>
      <protection locked="0" hidden="1"/>
    </xf>
    <xf numFmtId="49" fontId="6" fillId="26" borderId="8" xfId="0" applyNumberFormat="1" applyFont="1" applyFill="1" applyBorder="1" applyAlignment="1" applyProtection="1">
      <alignment horizontal="left"/>
      <protection locked="0" hidden="1"/>
    </xf>
    <xf numFmtId="0" fontId="6" fillId="26" borderId="7" xfId="0" applyFont="1" applyFill="1" applyBorder="1" applyAlignment="1" applyProtection="1">
      <alignment horizontal="left"/>
      <protection locked="0" hidden="1"/>
    </xf>
    <xf numFmtId="0" fontId="6" fillId="26" borderId="3" xfId="0" applyFont="1" applyFill="1" applyBorder="1" applyAlignment="1" applyProtection="1">
      <alignment horizontal="left"/>
      <protection locked="0" hidden="1"/>
    </xf>
    <xf numFmtId="0" fontId="6" fillId="26" borderId="8" xfId="0" applyFont="1" applyFill="1" applyBorder="1" applyAlignment="1" applyProtection="1">
      <alignment horizontal="left"/>
      <protection locked="0" hidden="1"/>
    </xf>
    <xf numFmtId="2" fontId="6" fillId="26" borderId="2" xfId="0" applyNumberFormat="1" applyFont="1" applyFill="1" applyBorder="1" applyAlignment="1" applyProtection="1">
      <alignment horizontal="left"/>
      <protection locked="0" hidden="1"/>
    </xf>
    <xf numFmtId="0" fontId="6" fillId="26" borderId="9" xfId="0" applyFont="1" applyFill="1" applyBorder="1" applyAlignment="1" applyProtection="1">
      <alignment horizontal="left"/>
      <protection locked="0" hidden="1"/>
    </xf>
    <xf numFmtId="2" fontId="6" fillId="26" borderId="10" xfId="0" applyNumberFormat="1" applyFont="1" applyFill="1" applyBorder="1" applyAlignment="1" applyProtection="1">
      <alignment horizontal="left"/>
      <protection locked="0" hidden="1"/>
    </xf>
    <xf numFmtId="2" fontId="6" fillId="26" borderId="16" xfId="0" applyNumberFormat="1" applyFont="1" applyFill="1" applyBorder="1" applyAlignment="1" applyProtection="1">
      <alignment horizontal="left"/>
      <protection locked="0" hidden="1"/>
    </xf>
    <xf numFmtId="49" fontId="6" fillId="26" borderId="16" xfId="0" applyNumberFormat="1" applyFont="1" applyFill="1" applyBorder="1" applyAlignment="1" applyProtection="1">
      <alignment horizontal="left"/>
      <protection locked="0" hidden="1"/>
    </xf>
    <xf numFmtId="49" fontId="6" fillId="26" borderId="11" xfId="0" applyNumberFormat="1" applyFont="1" applyFill="1" applyBorder="1" applyAlignment="1" applyProtection="1">
      <alignment horizontal="left"/>
      <protection locked="0" hidden="1"/>
    </xf>
    <xf numFmtId="49" fontId="6" fillId="27" borderId="7" xfId="0" applyNumberFormat="1" applyFont="1" applyFill="1" applyBorder="1" applyAlignment="1" applyProtection="1">
      <alignment horizontal="left"/>
      <protection locked="0" hidden="1"/>
    </xf>
    <xf numFmtId="49" fontId="6" fillId="27" borderId="3" xfId="0" applyNumberFormat="1" applyFont="1" applyFill="1" applyBorder="1" applyAlignment="1" applyProtection="1">
      <alignment horizontal="left"/>
      <protection locked="0" hidden="1"/>
    </xf>
    <xf numFmtId="49" fontId="6" fillId="27" borderId="2" xfId="0" applyNumberFormat="1" applyFont="1" applyFill="1" applyBorder="1" applyAlignment="1" applyProtection="1">
      <alignment horizontal="left"/>
      <protection locked="0" hidden="1"/>
    </xf>
    <xf numFmtId="49" fontId="6" fillId="27" borderId="8" xfId="0" applyNumberFormat="1" applyFont="1" applyFill="1" applyBorder="1" applyAlignment="1" applyProtection="1">
      <alignment horizontal="left"/>
      <protection locked="0" hidden="1"/>
    </xf>
    <xf numFmtId="0" fontId="6" fillId="27" borderId="7" xfId="0" applyFont="1" applyFill="1" applyBorder="1" applyAlignment="1" applyProtection="1">
      <alignment horizontal="left"/>
      <protection locked="0" hidden="1"/>
    </xf>
    <xf numFmtId="0" fontId="6" fillId="27" borderId="3" xfId="0" applyFont="1" applyFill="1" applyBorder="1" applyAlignment="1" applyProtection="1">
      <alignment horizontal="left"/>
      <protection locked="0" hidden="1"/>
    </xf>
    <xf numFmtId="2" fontId="6" fillId="27" borderId="2" xfId="0" applyNumberFormat="1" applyFont="1" applyFill="1" applyBorder="1" applyAlignment="1" applyProtection="1">
      <alignment horizontal="left"/>
      <protection locked="0" hidden="1"/>
    </xf>
    <xf numFmtId="0" fontId="6" fillId="27" borderId="8" xfId="0" applyFont="1" applyFill="1" applyBorder="1" applyAlignment="1" applyProtection="1">
      <alignment horizontal="left"/>
      <protection locked="0" hidden="1"/>
    </xf>
    <xf numFmtId="0" fontId="14" fillId="0" borderId="44" xfId="3" applyBorder="1" applyProtection="1">
      <protection hidden="1"/>
    </xf>
    <xf numFmtId="0" fontId="14" fillId="23" borderId="44" xfId="3" applyFill="1" applyBorder="1" applyProtection="1">
      <protection hidden="1"/>
    </xf>
    <xf numFmtId="0" fontId="23" fillId="0" borderId="0" xfId="3" applyFont="1" applyAlignment="1" applyProtection="1">
      <alignment horizontal="center"/>
      <protection hidden="1"/>
    </xf>
    <xf numFmtId="0" fontId="17" fillId="0" borderId="0" xfId="3" applyFont="1" applyProtection="1">
      <protection hidden="1"/>
    </xf>
    <xf numFmtId="49" fontId="24" fillId="0" borderId="0" xfId="3" applyNumberFormat="1" applyFont="1" applyProtection="1">
      <protection hidden="1"/>
    </xf>
    <xf numFmtId="49" fontId="17" fillId="0" borderId="0" xfId="3" applyNumberFormat="1" applyFont="1" applyProtection="1">
      <protection hidden="1"/>
    </xf>
    <xf numFmtId="0" fontId="24" fillId="0" borderId="0" xfId="3" applyFont="1" applyProtection="1">
      <protection hidden="1"/>
    </xf>
    <xf numFmtId="0" fontId="25" fillId="0" borderId="0" xfId="3" applyFont="1" applyProtection="1">
      <protection hidden="1"/>
    </xf>
    <xf numFmtId="0" fontId="15" fillId="0" borderId="59" xfId="3" applyFont="1" applyBorder="1" applyProtection="1">
      <protection hidden="1"/>
    </xf>
    <xf numFmtId="0" fontId="15" fillId="0" borderId="46" xfId="3" applyFont="1" applyBorder="1" applyProtection="1">
      <protection hidden="1"/>
    </xf>
    <xf numFmtId="0" fontId="15" fillId="0" borderId="43" xfId="3" applyFont="1" applyBorder="1" applyProtection="1">
      <protection hidden="1"/>
    </xf>
    <xf numFmtId="0" fontId="29" fillId="29" borderId="47" xfId="3" applyFont="1" applyFill="1" applyBorder="1" applyProtection="1">
      <protection hidden="1"/>
    </xf>
    <xf numFmtId="0" fontId="30" fillId="0" borderId="0" xfId="3" applyFont="1" applyProtection="1">
      <protection hidden="1"/>
    </xf>
    <xf numFmtId="0" fontId="27" fillId="29" borderId="34" xfId="3" applyFont="1" applyFill="1" applyBorder="1" applyAlignment="1" applyProtection="1">
      <alignment vertical="center"/>
      <protection hidden="1"/>
    </xf>
    <xf numFmtId="0" fontId="30" fillId="29" borderId="34" xfId="3" applyFont="1" applyFill="1" applyBorder="1" applyAlignment="1" applyProtection="1">
      <alignment vertical="center"/>
      <protection hidden="1"/>
    </xf>
    <xf numFmtId="0" fontId="29" fillId="0" borderId="1" xfId="3" applyFont="1" applyBorder="1" applyAlignment="1" applyProtection="1">
      <alignment textRotation="90"/>
      <protection hidden="1"/>
    </xf>
    <xf numFmtId="0" fontId="29" fillId="0" borderId="1" xfId="3" applyFont="1" applyBorder="1" applyAlignment="1" applyProtection="1">
      <alignment horizontal="center" vertical="center"/>
      <protection hidden="1"/>
    </xf>
    <xf numFmtId="164" fontId="32" fillId="0" borderId="1" xfId="3" applyNumberFormat="1" applyFont="1" applyBorder="1" applyAlignment="1" applyProtection="1">
      <alignment horizontal="center" vertical="center"/>
      <protection locked="0"/>
    </xf>
    <xf numFmtId="169" fontId="32" fillId="0" borderId="1" xfId="3" applyNumberFormat="1" applyFont="1" applyBorder="1" applyAlignment="1" applyProtection="1">
      <alignment horizontal="center" vertical="center"/>
      <protection locked="0"/>
    </xf>
    <xf numFmtId="0" fontId="32" fillId="0" borderId="1" xfId="3" applyFont="1" applyBorder="1" applyAlignment="1" applyProtection="1">
      <alignment horizontal="center" vertical="center"/>
      <protection locked="0"/>
    </xf>
    <xf numFmtId="1" fontId="32" fillId="0" borderId="1" xfId="3" applyNumberFormat="1" applyFont="1" applyBorder="1" applyAlignment="1" applyProtection="1">
      <alignment horizontal="center" vertical="center"/>
      <protection locked="0"/>
    </xf>
    <xf numFmtId="49" fontId="32" fillId="0" borderId="1" xfId="3" applyNumberFormat="1" applyFont="1" applyBorder="1" applyAlignment="1" applyProtection="1">
      <alignment horizontal="center" vertical="center"/>
      <protection locked="0"/>
    </xf>
    <xf numFmtId="164" fontId="27" fillId="28" borderId="1" xfId="3" applyNumberFormat="1" applyFont="1" applyFill="1" applyBorder="1" applyAlignment="1" applyProtection="1">
      <alignment horizontal="center" vertical="center"/>
      <protection hidden="1"/>
    </xf>
    <xf numFmtId="164" fontId="27" fillId="28" borderId="1" xfId="3" applyNumberFormat="1" applyFont="1" applyFill="1" applyBorder="1" applyAlignment="1" applyProtection="1">
      <alignment horizontal="center" vertical="center"/>
      <protection locked="0"/>
    </xf>
    <xf numFmtId="169" fontId="27" fillId="28" borderId="1" xfId="3" applyNumberFormat="1" applyFont="1" applyFill="1" applyBorder="1" applyAlignment="1" applyProtection="1">
      <alignment horizontal="center" vertical="center"/>
      <protection hidden="1"/>
    </xf>
    <xf numFmtId="171" fontId="27" fillId="28" borderId="1" xfId="3" applyNumberFormat="1" applyFont="1" applyFill="1" applyBorder="1" applyAlignment="1" applyProtection="1">
      <alignment horizontal="center" vertical="center"/>
      <protection hidden="1"/>
    </xf>
    <xf numFmtId="0" fontId="27" fillId="28" borderId="1" xfId="3" applyFont="1" applyFill="1" applyBorder="1" applyAlignment="1" applyProtection="1">
      <alignment horizontal="center" vertical="center"/>
      <protection hidden="1"/>
    </xf>
    <xf numFmtId="170" fontId="27" fillId="28" borderId="1" xfId="3" applyNumberFormat="1" applyFont="1" applyFill="1" applyBorder="1" applyAlignment="1" applyProtection="1">
      <alignment horizontal="center" vertical="center"/>
      <protection hidden="1"/>
    </xf>
    <xf numFmtId="1" fontId="27" fillId="28" borderId="1" xfId="3" applyNumberFormat="1" applyFont="1" applyFill="1" applyBorder="1" applyAlignment="1" applyProtection="1">
      <alignment horizontal="center" vertical="center"/>
      <protection hidden="1"/>
    </xf>
    <xf numFmtId="0" fontId="27" fillId="28" borderId="1" xfId="3" applyFont="1" applyFill="1" applyBorder="1" applyAlignment="1" applyProtection="1">
      <alignment horizontal="center" vertical="center"/>
      <protection locked="0"/>
    </xf>
    <xf numFmtId="164" fontId="32" fillId="10" borderId="1" xfId="3" applyNumberFormat="1" applyFont="1" applyFill="1" applyBorder="1" applyAlignment="1" applyProtection="1">
      <alignment horizontal="center" vertical="center"/>
      <protection locked="0"/>
    </xf>
    <xf numFmtId="1" fontId="32" fillId="10" borderId="1" xfId="3" applyNumberFormat="1" applyFont="1" applyFill="1" applyBorder="1" applyAlignment="1" applyProtection="1">
      <alignment horizontal="center" vertical="center"/>
      <protection locked="0"/>
    </xf>
    <xf numFmtId="1" fontId="27" fillId="28" borderId="1" xfId="3" quotePrefix="1" applyNumberFormat="1" applyFont="1" applyFill="1" applyBorder="1" applyAlignment="1" applyProtection="1">
      <alignment horizontal="center" vertical="center"/>
      <protection hidden="1"/>
    </xf>
    <xf numFmtId="0" fontId="30" fillId="0" borderId="63" xfId="3" applyFont="1" applyBorder="1" applyProtection="1">
      <protection hidden="1"/>
    </xf>
    <xf numFmtId="0" fontId="30" fillId="0" borderId="48" xfId="3" applyFont="1" applyBorder="1" applyProtection="1">
      <protection hidden="1"/>
    </xf>
    <xf numFmtId="0" fontId="27" fillId="29" borderId="0" xfId="3" applyFont="1" applyFill="1" applyProtection="1">
      <protection hidden="1"/>
    </xf>
    <xf numFmtId="0" fontId="26" fillId="29" borderId="0" xfId="3" applyFont="1" applyFill="1" applyProtection="1">
      <protection hidden="1"/>
    </xf>
    <xf numFmtId="0" fontId="33" fillId="19" borderId="1" xfId="3" applyFont="1" applyFill="1" applyBorder="1" applyAlignment="1" applyProtection="1">
      <alignment horizontal="center"/>
      <protection hidden="1"/>
    </xf>
    <xf numFmtId="0" fontId="32" fillId="10" borderId="1" xfId="3" applyFont="1" applyFill="1" applyBorder="1" applyAlignment="1" applyProtection="1">
      <alignment horizontal="center"/>
      <protection hidden="1"/>
    </xf>
    <xf numFmtId="0" fontId="32" fillId="10" borderId="1" xfId="3" applyFont="1" applyFill="1" applyBorder="1" applyAlignment="1" applyProtection="1">
      <alignment horizontal="center"/>
      <protection locked="0"/>
    </xf>
    <xf numFmtId="0" fontId="32" fillId="0" borderId="1" xfId="3" applyFont="1" applyBorder="1" applyAlignment="1" applyProtection="1">
      <alignment horizontal="center"/>
      <protection locked="0"/>
    </xf>
    <xf numFmtId="164" fontId="32" fillId="0" borderId="1" xfId="3" applyNumberFormat="1" applyFont="1" applyBorder="1" applyAlignment="1" applyProtection="1">
      <alignment horizontal="center"/>
      <protection locked="0"/>
    </xf>
    <xf numFmtId="0" fontId="27" fillId="28" borderId="1" xfId="3" applyFont="1" applyFill="1" applyBorder="1" applyAlignment="1" applyProtection="1">
      <alignment horizontal="center"/>
      <protection hidden="1"/>
    </xf>
    <xf numFmtId="0" fontId="27" fillId="28" borderId="1" xfId="3" applyFont="1" applyFill="1" applyBorder="1" applyAlignment="1" applyProtection="1">
      <alignment horizontal="center"/>
      <protection locked="0"/>
    </xf>
    <xf numFmtId="167" fontId="27" fillId="28" borderId="1" xfId="3" applyNumberFormat="1" applyFont="1" applyFill="1" applyBorder="1" applyAlignment="1" applyProtection="1">
      <alignment horizontal="center"/>
      <protection hidden="1"/>
    </xf>
    <xf numFmtId="164" fontId="27" fillId="28" borderId="1" xfId="3" applyNumberFormat="1" applyFont="1" applyFill="1" applyBorder="1" applyAlignment="1" applyProtection="1">
      <alignment horizontal="center"/>
      <protection hidden="1"/>
    </xf>
    <xf numFmtId="164" fontId="32" fillId="23" borderId="1" xfId="3" applyNumberFormat="1" applyFont="1" applyFill="1" applyBorder="1" applyAlignment="1" applyProtection="1">
      <alignment horizontal="center"/>
      <protection locked="0"/>
    </xf>
    <xf numFmtId="0" fontId="30" fillId="0" borderId="1" xfId="3" applyFont="1" applyBorder="1" applyProtection="1">
      <protection locked="0"/>
    </xf>
    <xf numFmtId="0" fontId="30" fillId="0" borderId="1" xfId="3" applyFont="1" applyBorder="1" applyAlignment="1" applyProtection="1">
      <alignment horizontal="center"/>
      <protection locked="0"/>
    </xf>
    <xf numFmtId="164" fontId="30" fillId="0" borderId="1" xfId="3" applyNumberFormat="1" applyFont="1" applyBorder="1" applyAlignment="1" applyProtection="1">
      <alignment horizontal="center"/>
      <protection locked="0"/>
    </xf>
    <xf numFmtId="49" fontId="30" fillId="0" borderId="1" xfId="3" applyNumberFormat="1" applyFont="1" applyBorder="1" applyAlignment="1" applyProtection="1">
      <alignment horizontal="center"/>
      <protection locked="0"/>
    </xf>
    <xf numFmtId="49" fontId="32" fillId="10" borderId="1" xfId="3" applyNumberFormat="1" applyFont="1" applyFill="1" applyBorder="1" applyAlignment="1" applyProtection="1">
      <alignment horizontal="center"/>
      <protection locked="0"/>
    </xf>
    <xf numFmtId="0" fontId="30" fillId="28" borderId="1" xfId="3" applyFont="1" applyFill="1" applyBorder="1" applyAlignment="1" applyProtection="1">
      <alignment horizontal="center"/>
      <protection hidden="1"/>
    </xf>
    <xf numFmtId="49" fontId="27" fillId="28" borderId="1" xfId="3" applyNumberFormat="1" applyFont="1" applyFill="1" applyBorder="1" applyAlignment="1" applyProtection="1">
      <alignment horizontal="center"/>
      <protection hidden="1"/>
    </xf>
    <xf numFmtId="0" fontId="27" fillId="29" borderId="43" xfId="3" applyFont="1" applyFill="1" applyBorder="1" applyAlignment="1" applyProtection="1">
      <alignment vertical="center"/>
      <protection hidden="1"/>
    </xf>
    <xf numFmtId="49" fontId="26" fillId="29" borderId="0" xfId="3" applyNumberFormat="1" applyFont="1" applyFill="1" applyProtection="1">
      <protection hidden="1"/>
    </xf>
    <xf numFmtId="0" fontId="27" fillId="29" borderId="34" xfId="3" applyFont="1" applyFill="1" applyBorder="1" applyProtection="1">
      <protection hidden="1"/>
    </xf>
    <xf numFmtId="0" fontId="27" fillId="29" borderId="44" xfId="3" applyFont="1" applyFill="1" applyBorder="1" applyProtection="1">
      <protection hidden="1"/>
    </xf>
    <xf numFmtId="0" fontId="27" fillId="29" borderId="47" xfId="3" applyFont="1" applyFill="1" applyBorder="1" applyProtection="1">
      <protection hidden="1"/>
    </xf>
    <xf numFmtId="0" fontId="27" fillId="29" borderId="43" xfId="3" applyFont="1" applyFill="1" applyBorder="1" applyProtection="1">
      <protection hidden="1"/>
    </xf>
    <xf numFmtId="0" fontId="27" fillId="29" borderId="42" xfId="3" applyFont="1" applyFill="1" applyBorder="1" applyProtection="1">
      <protection hidden="1"/>
    </xf>
    <xf numFmtId="0" fontId="29" fillId="19" borderId="38" xfId="3" applyFont="1" applyFill="1" applyBorder="1" applyAlignment="1" applyProtection="1">
      <alignment horizontal="center" wrapText="1"/>
      <protection hidden="1"/>
    </xf>
    <xf numFmtId="0" fontId="33" fillId="0" borderId="46" xfId="3" applyFont="1" applyBorder="1" applyAlignment="1" applyProtection="1">
      <alignment horizontal="center"/>
      <protection hidden="1"/>
    </xf>
    <xf numFmtId="0" fontId="33" fillId="0" borderId="1" xfId="3" applyFont="1" applyBorder="1" applyAlignment="1" applyProtection="1">
      <alignment horizontal="center"/>
      <protection hidden="1"/>
    </xf>
    <xf numFmtId="0" fontId="33" fillId="4" borderId="43" xfId="3" applyFont="1" applyFill="1" applyBorder="1" applyAlignment="1" applyProtection="1">
      <alignment horizontal="center" vertical="center"/>
      <protection hidden="1"/>
    </xf>
    <xf numFmtId="164" fontId="27" fillId="0" borderId="1" xfId="3" applyNumberFormat="1" applyFont="1" applyBorder="1" applyAlignment="1" applyProtection="1">
      <alignment horizontal="center"/>
      <protection locked="0"/>
    </xf>
    <xf numFmtId="0" fontId="34" fillId="0" borderId="0" xfId="3" applyFont="1" applyProtection="1">
      <protection hidden="1"/>
    </xf>
    <xf numFmtId="0" fontId="30" fillId="0" borderId="57" xfId="3" applyFont="1" applyBorder="1" applyProtection="1">
      <protection hidden="1"/>
    </xf>
    <xf numFmtId="0" fontId="27" fillId="31" borderId="38" xfId="3" applyFont="1" applyFill="1" applyBorder="1" applyAlignment="1" applyProtection="1">
      <alignment horizontal="center"/>
      <protection hidden="1"/>
    </xf>
    <xf numFmtId="0" fontId="30" fillId="0" borderId="59" xfId="3" applyFont="1" applyBorder="1" applyProtection="1">
      <protection hidden="1"/>
    </xf>
    <xf numFmtId="0" fontId="30" fillId="0" borderId="53" xfId="3" applyFont="1" applyBorder="1" applyProtection="1">
      <protection locked="0"/>
    </xf>
    <xf numFmtId="0" fontId="30" fillId="0" borderId="48" xfId="3" applyFont="1" applyBorder="1" applyProtection="1">
      <protection locked="0"/>
    </xf>
    <xf numFmtId="0" fontId="16" fillId="31" borderId="1" xfId="3" applyFont="1" applyFill="1" applyBorder="1" applyAlignment="1" applyProtection="1">
      <alignment horizontal="center" vertical="center"/>
      <protection hidden="1"/>
    </xf>
    <xf numFmtId="172" fontId="30" fillId="0" borderId="57" xfId="4" applyNumberFormat="1" applyFont="1" applyFill="1" applyBorder="1" applyAlignment="1" applyProtection="1">
      <protection hidden="1"/>
    </xf>
    <xf numFmtId="0" fontId="30" fillId="0" borderId="38" xfId="3" applyFont="1" applyBorder="1" applyAlignment="1" applyProtection="1">
      <alignment horizontal="center"/>
      <protection hidden="1"/>
    </xf>
    <xf numFmtId="172" fontId="30" fillId="0" borderId="63" xfId="4" applyNumberFormat="1" applyFont="1" applyFill="1" applyBorder="1" applyAlignment="1" applyProtection="1">
      <protection hidden="1"/>
    </xf>
    <xf numFmtId="0" fontId="34" fillId="0" borderId="0" xfId="3" applyFont="1" applyAlignment="1" applyProtection="1">
      <alignment horizontal="left"/>
      <protection hidden="1"/>
    </xf>
    <xf numFmtId="0" fontId="34" fillId="0" borderId="0" xfId="3" applyFont="1" applyAlignment="1" applyProtection="1">
      <alignment wrapText="1"/>
      <protection hidden="1"/>
    </xf>
    <xf numFmtId="0" fontId="34" fillId="0" borderId="0" xfId="3" applyFont="1" applyAlignment="1" applyProtection="1">
      <alignment vertical="center" textRotation="90"/>
      <protection hidden="1"/>
    </xf>
    <xf numFmtId="0" fontId="34" fillId="0" borderId="0" xfId="3" applyFont="1" applyAlignment="1" applyProtection="1">
      <alignment textRotation="90" wrapText="1"/>
      <protection hidden="1"/>
    </xf>
    <xf numFmtId="0" fontId="34" fillId="0" borderId="0" xfId="3" applyFont="1" applyAlignment="1" applyProtection="1">
      <alignment vertical="center" textRotation="90" wrapText="1"/>
      <protection hidden="1"/>
    </xf>
    <xf numFmtId="0" fontId="31" fillId="29" borderId="34" xfId="3" applyFont="1" applyFill="1" applyBorder="1" applyProtection="1">
      <protection hidden="1"/>
    </xf>
    <xf numFmtId="0" fontId="31" fillId="29" borderId="0" xfId="3" applyFont="1" applyFill="1" applyProtection="1">
      <protection hidden="1"/>
    </xf>
    <xf numFmtId="0" fontId="38" fillId="29" borderId="0" xfId="3" applyFont="1" applyFill="1" applyAlignment="1" applyProtection="1">
      <alignment horizontal="center"/>
      <protection hidden="1"/>
    </xf>
    <xf numFmtId="0" fontId="31" fillId="29" borderId="54" xfId="3" applyFont="1" applyFill="1" applyBorder="1" applyProtection="1">
      <protection hidden="1"/>
    </xf>
    <xf numFmtId="0" fontId="31" fillId="29" borderId="53" xfId="3" applyFont="1" applyFill="1" applyBorder="1" applyProtection="1">
      <protection hidden="1"/>
    </xf>
    <xf numFmtId="0" fontId="31" fillId="29" borderId="63" xfId="3" applyFont="1" applyFill="1" applyBorder="1" applyProtection="1">
      <protection hidden="1"/>
    </xf>
    <xf numFmtId="0" fontId="31" fillId="29" borderId="66" xfId="3" applyFont="1" applyFill="1" applyBorder="1" applyProtection="1">
      <protection hidden="1"/>
    </xf>
    <xf numFmtId="0" fontId="27" fillId="29" borderId="0" xfId="3" applyFont="1" applyFill="1" applyAlignment="1" applyProtection="1">
      <alignment horizontal="right"/>
      <protection hidden="1"/>
    </xf>
    <xf numFmtId="0" fontId="33" fillId="31" borderId="38" xfId="3" applyFont="1" applyFill="1" applyBorder="1" applyAlignment="1" applyProtection="1">
      <alignment horizontal="center"/>
      <protection hidden="1"/>
    </xf>
    <xf numFmtId="0" fontId="30" fillId="32" borderId="1" xfId="3" applyFont="1" applyFill="1" applyBorder="1" applyAlignment="1" applyProtection="1">
      <alignment horizontal="center"/>
      <protection hidden="1"/>
    </xf>
    <xf numFmtId="0" fontId="26" fillId="29" borderId="0" xfId="3" applyFont="1" applyFill="1" applyAlignment="1" applyProtection="1">
      <alignment horizontal="center" vertical="center"/>
      <protection hidden="1"/>
    </xf>
    <xf numFmtId="0" fontId="26" fillId="29" borderId="53" xfId="3" applyFont="1" applyFill="1" applyBorder="1" applyProtection="1">
      <protection hidden="1"/>
    </xf>
    <xf numFmtId="0" fontId="29" fillId="29" borderId="0" xfId="3" applyFont="1" applyFill="1" applyAlignment="1" applyProtection="1">
      <alignment horizontal="center" vertical="center"/>
      <protection hidden="1"/>
    </xf>
    <xf numFmtId="0" fontId="29" fillId="29" borderId="0" xfId="3" applyFont="1" applyFill="1" applyProtection="1">
      <protection hidden="1"/>
    </xf>
    <xf numFmtId="0" fontId="29" fillId="29" borderId="63" xfId="3" applyFont="1" applyFill="1" applyBorder="1" applyProtection="1">
      <protection hidden="1"/>
    </xf>
    <xf numFmtId="0" fontId="30" fillId="29" borderId="0" xfId="3" applyFont="1" applyFill="1" applyProtection="1">
      <protection hidden="1"/>
    </xf>
    <xf numFmtId="0" fontId="30" fillId="29" borderId="0" xfId="3" applyFont="1" applyFill="1" applyAlignment="1" applyProtection="1">
      <alignment vertical="center"/>
      <protection hidden="1"/>
    </xf>
    <xf numFmtId="0" fontId="30" fillId="29" borderId="63" xfId="3" applyFont="1" applyFill="1" applyBorder="1" applyAlignment="1" applyProtection="1">
      <alignment vertical="center"/>
      <protection hidden="1"/>
    </xf>
    <xf numFmtId="0" fontId="27" fillId="29" borderId="0" xfId="3" applyFont="1" applyFill="1" applyAlignment="1" applyProtection="1">
      <alignment vertical="center"/>
      <protection hidden="1"/>
    </xf>
    <xf numFmtId="0" fontId="30" fillId="29" borderId="66" xfId="3" applyFont="1" applyFill="1" applyBorder="1" applyAlignment="1" applyProtection="1">
      <alignment vertical="center"/>
      <protection hidden="1"/>
    </xf>
    <xf numFmtId="0" fontId="27" fillId="0" borderId="60" xfId="3" applyFont="1" applyBorder="1" applyProtection="1">
      <protection hidden="1"/>
    </xf>
    <xf numFmtId="0" fontId="32" fillId="0" borderId="56" xfId="3" applyFont="1" applyBorder="1" applyAlignment="1" applyProtection="1">
      <alignment horizontal="center" vertical="center"/>
      <protection locked="0"/>
    </xf>
    <xf numFmtId="0" fontId="27" fillId="28" borderId="60" xfId="3" applyFont="1" applyFill="1" applyBorder="1" applyProtection="1">
      <protection hidden="1"/>
    </xf>
    <xf numFmtId="0" fontId="27" fillId="28" borderId="56" xfId="3" applyFont="1" applyFill="1" applyBorder="1" applyAlignment="1" applyProtection="1">
      <alignment horizontal="center" vertical="center"/>
      <protection locked="0"/>
    </xf>
    <xf numFmtId="0" fontId="27" fillId="23" borderId="60" xfId="3" applyFont="1" applyFill="1" applyBorder="1" applyProtection="1">
      <protection hidden="1"/>
    </xf>
    <xf numFmtId="0" fontId="27" fillId="29" borderId="0" xfId="3" applyFont="1" applyFill="1" applyAlignment="1" applyProtection="1">
      <alignment horizontal="left" vertical="center"/>
      <protection hidden="1"/>
    </xf>
    <xf numFmtId="0" fontId="26" fillId="29" borderId="47" xfId="3" applyFont="1" applyFill="1" applyBorder="1" applyProtection="1">
      <protection hidden="1"/>
    </xf>
    <xf numFmtId="0" fontId="30" fillId="29" borderId="39" xfId="3" applyFont="1" applyFill="1" applyBorder="1" applyAlignment="1" applyProtection="1">
      <alignment horizontal="center"/>
      <protection hidden="1"/>
    </xf>
    <xf numFmtId="0" fontId="30" fillId="29" borderId="39" xfId="3" applyFont="1" applyFill="1" applyBorder="1" applyProtection="1">
      <protection hidden="1"/>
    </xf>
    <xf numFmtId="0" fontId="30" fillId="29" borderId="34" xfId="3" applyFont="1" applyFill="1" applyBorder="1" applyAlignment="1" applyProtection="1">
      <alignment horizontal="center"/>
      <protection hidden="1"/>
    </xf>
    <xf numFmtId="0" fontId="30" fillId="29" borderId="34" xfId="3" applyFont="1" applyFill="1" applyBorder="1" applyAlignment="1" applyProtection="1">
      <alignment horizontal="center"/>
      <protection locked="0"/>
    </xf>
    <xf numFmtId="0" fontId="30" fillId="29" borderId="34" xfId="3" applyFont="1" applyFill="1" applyBorder="1" applyAlignment="1" applyProtection="1">
      <alignment horizontal="right"/>
      <protection hidden="1"/>
    </xf>
    <xf numFmtId="0" fontId="30" fillId="29" borderId="34" xfId="3" applyFont="1" applyFill="1" applyBorder="1" applyProtection="1">
      <protection hidden="1"/>
    </xf>
    <xf numFmtId="0" fontId="30" fillId="29" borderId="39" xfId="3" applyFont="1" applyFill="1" applyBorder="1" applyProtection="1">
      <protection locked="0"/>
    </xf>
    <xf numFmtId="0" fontId="27" fillId="0" borderId="1" xfId="3" applyFont="1" applyBorder="1" applyAlignment="1" applyProtection="1">
      <alignment horizontal="center"/>
      <protection locked="0"/>
    </xf>
    <xf numFmtId="0" fontId="30" fillId="0" borderId="51" xfId="3" applyFont="1" applyBorder="1" applyAlignment="1" applyProtection="1">
      <alignment horizontal="center"/>
      <protection locked="0"/>
    </xf>
    <xf numFmtId="49" fontId="0" fillId="6" borderId="25" xfId="0" applyNumberFormat="1" applyFill="1" applyBorder="1" applyAlignment="1" applyProtection="1">
      <alignment horizontal="left"/>
      <protection locked="0" hidden="1"/>
    </xf>
    <xf numFmtId="49" fontId="0" fillId="6" borderId="28" xfId="0" applyNumberFormat="1" applyFill="1" applyBorder="1" applyAlignment="1" applyProtection="1">
      <alignment horizontal="left"/>
      <protection locked="0" hidden="1"/>
    </xf>
    <xf numFmtId="49" fontId="0" fillId="6" borderId="26" xfId="0" applyNumberFormat="1" applyFill="1" applyBorder="1" applyAlignment="1" applyProtection="1">
      <alignment horizontal="left"/>
      <protection locked="0" hidden="1"/>
    </xf>
    <xf numFmtId="49" fontId="0" fillId="6" borderId="29" xfId="0" applyNumberFormat="1" applyFill="1" applyBorder="1" applyAlignment="1" applyProtection="1">
      <alignment horizontal="left"/>
      <protection locked="0" hidden="1"/>
    </xf>
    <xf numFmtId="1" fontId="0" fillId="6" borderId="10" xfId="0" applyNumberFormat="1" applyFill="1" applyBorder="1" applyAlignment="1" applyProtection="1">
      <alignment horizontal="left"/>
      <protection locked="0" hidden="1"/>
    </xf>
    <xf numFmtId="49" fontId="6" fillId="15" borderId="15" xfId="0" applyNumberFormat="1" applyFont="1" applyFill="1" applyBorder="1" applyAlignment="1" applyProtection="1">
      <alignment horizontal="left"/>
      <protection locked="0" hidden="1"/>
    </xf>
    <xf numFmtId="1" fontId="6" fillId="26" borderId="16" xfId="0" applyNumberFormat="1" applyFont="1" applyFill="1" applyBorder="1" applyAlignment="1" applyProtection="1">
      <alignment horizontal="left"/>
      <protection locked="0" hidden="1"/>
    </xf>
    <xf numFmtId="49" fontId="0" fillId="6" borderId="5" xfId="0" applyNumberFormat="1" applyFill="1" applyBorder="1" applyAlignment="1" applyProtection="1">
      <alignment horizontal="left"/>
      <protection locked="0" hidden="1"/>
    </xf>
    <xf numFmtId="1" fontId="0" fillId="6" borderId="26" xfId="0" applyNumberFormat="1" applyFill="1" applyBorder="1" applyAlignment="1" applyProtection="1">
      <alignment horizontal="left"/>
      <protection locked="0" hidden="1"/>
    </xf>
    <xf numFmtId="49" fontId="0" fillId="6" borderId="30" xfId="0" applyNumberFormat="1" applyFill="1" applyBorder="1" applyAlignment="1" applyProtection="1">
      <alignment horizontal="left"/>
      <protection locked="0" hidden="1"/>
    </xf>
    <xf numFmtId="49" fontId="0" fillId="6" borderId="32" xfId="0" applyNumberFormat="1" applyFill="1" applyBorder="1" applyAlignment="1" applyProtection="1">
      <alignment horizontal="left"/>
      <protection locked="0" hidden="1"/>
    </xf>
    <xf numFmtId="49" fontId="0" fillId="6" borderId="14" xfId="0" applyNumberFormat="1" applyFill="1" applyBorder="1" applyAlignment="1" applyProtection="1">
      <alignment horizontal="left"/>
      <protection locked="0" hidden="1"/>
    </xf>
    <xf numFmtId="49" fontId="0" fillId="6" borderId="15" xfId="0" applyNumberFormat="1" applyFill="1" applyBorder="1" applyAlignment="1" applyProtection="1">
      <alignment horizontal="left"/>
      <protection locked="0" hidden="1"/>
    </xf>
    <xf numFmtId="49" fontId="0" fillId="6" borderId="3" xfId="0" applyNumberFormat="1" applyFill="1" applyBorder="1" applyAlignment="1" applyProtection="1">
      <alignment horizontal="left"/>
      <protection locked="0" hidden="1"/>
    </xf>
    <xf numFmtId="1" fontId="0" fillId="6" borderId="16" xfId="0" applyNumberFormat="1" applyFill="1" applyBorder="1" applyAlignment="1" applyProtection="1">
      <alignment horizontal="left"/>
      <protection locked="0" hidden="1"/>
    </xf>
    <xf numFmtId="49" fontId="0" fillId="6" borderId="16" xfId="0" applyNumberFormat="1" applyFill="1" applyBorder="1" applyAlignment="1" applyProtection="1">
      <alignment horizontal="left"/>
      <protection locked="0" hidden="1"/>
    </xf>
    <xf numFmtId="0" fontId="0" fillId="6" borderId="20" xfId="0" applyFill="1" applyBorder="1" applyAlignment="1" applyProtection="1">
      <alignment horizontal="left"/>
      <protection locked="0" hidden="1"/>
    </xf>
    <xf numFmtId="0" fontId="0" fillId="6" borderId="6" xfId="0" applyFill="1" applyBorder="1" applyAlignment="1" applyProtection="1">
      <alignment horizontal="left"/>
      <protection locked="0" hidden="1"/>
    </xf>
    <xf numFmtId="0" fontId="6" fillId="15" borderId="15" xfId="0" applyFont="1" applyFill="1" applyBorder="1" applyAlignment="1" applyProtection="1">
      <alignment horizontal="left"/>
      <protection locked="0" hidden="1"/>
    </xf>
    <xf numFmtId="0" fontId="6" fillId="15" borderId="6" xfId="0" applyFont="1" applyFill="1" applyBorder="1" applyAlignment="1" applyProtection="1">
      <alignment horizontal="left"/>
      <protection locked="0" hidden="1"/>
    </xf>
    <xf numFmtId="0" fontId="0" fillId="6" borderId="12" xfId="0" applyFill="1" applyBorder="1" applyAlignment="1" applyProtection="1">
      <alignment horizontal="left"/>
      <protection locked="0" hidden="1"/>
    </xf>
    <xf numFmtId="0" fontId="0" fillId="6" borderId="33" xfId="0" applyFill="1" applyBorder="1" applyAlignment="1" applyProtection="1">
      <alignment horizontal="left"/>
      <protection locked="0" hidden="1"/>
    </xf>
    <xf numFmtId="174" fontId="0" fillId="0" borderId="0" xfId="0" applyNumberFormat="1"/>
    <xf numFmtId="0" fontId="20" fillId="17" borderId="1" xfId="0" applyFont="1" applyFill="1" applyBorder="1" applyAlignment="1" applyProtection="1">
      <alignment horizontal="center" vertical="center"/>
      <protection locked="0" hidden="1"/>
    </xf>
    <xf numFmtId="174" fontId="0" fillId="0" borderId="38" xfId="0" applyNumberFormat="1" applyBorder="1"/>
    <xf numFmtId="3" fontId="0" fillId="0" borderId="1" xfId="0" applyNumberFormat="1" applyBorder="1" applyAlignment="1">
      <alignment horizontal="center"/>
    </xf>
    <xf numFmtId="0" fontId="0" fillId="21" borderId="1" xfId="0" applyFill="1" applyBorder="1" applyAlignment="1">
      <alignment horizontal="center"/>
    </xf>
    <xf numFmtId="174" fontId="0" fillId="21" borderId="1" xfId="0" applyNumberFormat="1" applyFill="1" applyBorder="1"/>
    <xf numFmtId="3" fontId="0" fillId="21" borderId="1" xfId="0" applyNumberFormat="1" applyFill="1" applyBorder="1" applyAlignment="1">
      <alignment horizontal="center"/>
    </xf>
    <xf numFmtId="174" fontId="0" fillId="0" borderId="1" xfId="2" applyNumberFormat="1" applyFont="1" applyBorder="1"/>
    <xf numFmtId="170" fontId="0" fillId="0" borderId="1" xfId="0" applyNumberFormat="1" applyBorder="1"/>
    <xf numFmtId="174" fontId="0" fillId="0" borderId="1" xfId="0" applyNumberFormat="1" applyBorder="1"/>
    <xf numFmtId="174" fontId="27" fillId="28" borderId="1" xfId="3" applyNumberFormat="1" applyFont="1" applyFill="1" applyBorder="1" applyAlignment="1" applyProtection="1">
      <alignment horizontal="center" vertical="center"/>
      <protection locked="0"/>
    </xf>
    <xf numFmtId="0" fontId="30" fillId="29" borderId="39" xfId="3" applyFont="1" applyFill="1" applyBorder="1" applyAlignment="1" applyProtection="1">
      <alignment horizontal="center" vertical="center"/>
      <protection locked="0"/>
    </xf>
    <xf numFmtId="0" fontId="7" fillId="22" borderId="38" xfId="0" applyFont="1" applyFill="1" applyBorder="1" applyAlignment="1">
      <alignment horizontal="center"/>
    </xf>
    <xf numFmtId="0" fontId="7" fillId="22" borderId="36" xfId="0" applyFont="1" applyFill="1" applyBorder="1" applyAlignment="1">
      <alignment horizontal="center"/>
    </xf>
    <xf numFmtId="0" fontId="7" fillId="22" borderId="35" xfId="0" applyFont="1" applyFill="1" applyBorder="1" applyAlignment="1">
      <alignment horizontal="center" vertical="center"/>
    </xf>
    <xf numFmtId="0" fontId="7" fillId="22" borderId="41" xfId="0" applyFont="1" applyFill="1" applyBorder="1" applyAlignment="1">
      <alignment horizontal="center" vertical="center"/>
    </xf>
    <xf numFmtId="0" fontId="7" fillId="22" borderId="37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/>
      <protection locked="0"/>
    </xf>
    <xf numFmtId="0" fontId="7" fillId="3" borderId="38" xfId="0" applyFont="1" applyFill="1" applyBorder="1" applyAlignment="1">
      <alignment horizontal="left"/>
    </xf>
    <xf numFmtId="0" fontId="7" fillId="3" borderId="39" xfId="0" applyFont="1" applyFill="1" applyBorder="1" applyAlignment="1">
      <alignment horizontal="left"/>
    </xf>
    <xf numFmtId="0" fontId="7" fillId="3" borderId="36" xfId="0" applyFont="1" applyFill="1" applyBorder="1" applyAlignment="1">
      <alignment horizontal="left"/>
    </xf>
    <xf numFmtId="176" fontId="20" fillId="17" borderId="38" xfId="0" applyNumberFormat="1" applyFont="1" applyFill="1" applyBorder="1" applyAlignment="1" applyProtection="1">
      <alignment horizontal="center"/>
      <protection locked="0"/>
    </xf>
    <xf numFmtId="14" fontId="20" fillId="17" borderId="39" xfId="0" applyNumberFormat="1" applyFont="1" applyFill="1" applyBorder="1" applyAlignment="1" applyProtection="1">
      <alignment horizontal="center"/>
      <protection locked="0"/>
    </xf>
    <xf numFmtId="14" fontId="20" fillId="17" borderId="36" xfId="0" applyNumberFormat="1" applyFont="1" applyFill="1" applyBorder="1" applyAlignment="1" applyProtection="1">
      <alignment horizontal="center"/>
      <protection locked="0"/>
    </xf>
    <xf numFmtId="0" fontId="7" fillId="5" borderId="46" xfId="0" applyFont="1" applyFill="1" applyBorder="1" applyAlignment="1">
      <alignment horizontal="center" vertical="center"/>
    </xf>
    <xf numFmtId="0" fontId="7" fillId="5" borderId="45" xfId="0" applyFont="1" applyFill="1" applyBorder="1" applyAlignment="1">
      <alignment horizontal="center" vertical="center"/>
    </xf>
    <xf numFmtId="0" fontId="7" fillId="5" borderId="43" xfId="0" applyFont="1" applyFill="1" applyBorder="1" applyAlignment="1">
      <alignment horizontal="center" vertical="center"/>
    </xf>
    <xf numFmtId="0" fontId="7" fillId="5" borderId="42" xfId="0" applyFont="1" applyFill="1" applyBorder="1" applyAlignment="1">
      <alignment horizontal="center" vertical="center"/>
    </xf>
    <xf numFmtId="0" fontId="7" fillId="5" borderId="35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horizontal="center" vertical="center"/>
    </xf>
    <xf numFmtId="175" fontId="20" fillId="17" borderId="39" xfId="0" applyNumberFormat="1" applyFont="1" applyFill="1" applyBorder="1" applyAlignment="1" applyProtection="1">
      <alignment horizontal="center"/>
      <protection locked="0"/>
    </xf>
    <xf numFmtId="175" fontId="20" fillId="17" borderId="36" xfId="0" applyNumberFormat="1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167" fontId="30" fillId="29" borderId="34" xfId="3" applyNumberFormat="1" applyFont="1" applyFill="1" applyBorder="1" applyAlignment="1" applyProtection="1">
      <alignment horizontal="center" vertical="center"/>
      <protection hidden="1"/>
    </xf>
    <xf numFmtId="0" fontId="29" fillId="19" borderId="1" xfId="3" applyFont="1" applyFill="1" applyBorder="1" applyAlignment="1" applyProtection="1">
      <alignment horizontal="center" textRotation="90"/>
      <protection hidden="1"/>
    </xf>
    <xf numFmtId="0" fontId="27" fillId="29" borderId="0" xfId="3" applyFont="1" applyFill="1" applyAlignment="1" applyProtection="1">
      <alignment horizontal="center" vertical="center"/>
      <protection hidden="1"/>
    </xf>
    <xf numFmtId="0" fontId="30" fillId="29" borderId="34" xfId="3" applyFont="1" applyFill="1" applyBorder="1" applyAlignment="1" applyProtection="1">
      <alignment horizontal="center"/>
      <protection locked="0"/>
    </xf>
    <xf numFmtId="0" fontId="30" fillId="29" borderId="34" xfId="3" applyFont="1" applyFill="1" applyBorder="1" applyAlignment="1" applyProtection="1">
      <alignment horizontal="center" vertical="center"/>
      <protection locked="0"/>
    </xf>
    <xf numFmtId="0" fontId="29" fillId="19" borderId="1" xfId="3" applyFont="1" applyFill="1" applyBorder="1" applyAlignment="1" applyProtection="1">
      <alignment horizontal="center" vertical="center"/>
      <protection hidden="1"/>
    </xf>
    <xf numFmtId="0" fontId="33" fillId="19" borderId="1" xfId="3" applyFont="1" applyFill="1" applyBorder="1" applyAlignment="1" applyProtection="1">
      <alignment horizontal="center"/>
      <protection hidden="1"/>
    </xf>
    <xf numFmtId="0" fontId="33" fillId="19" borderId="38" xfId="3" applyFont="1" applyFill="1" applyBorder="1" applyAlignment="1" applyProtection="1">
      <alignment horizontal="center"/>
      <protection hidden="1"/>
    </xf>
    <xf numFmtId="0" fontId="33" fillId="19" borderId="39" xfId="3" applyFont="1" applyFill="1" applyBorder="1" applyAlignment="1" applyProtection="1">
      <alignment horizontal="center"/>
      <protection hidden="1"/>
    </xf>
    <xf numFmtId="0" fontId="26" fillId="22" borderId="55" xfId="3" applyFont="1" applyFill="1" applyBorder="1" applyAlignment="1" applyProtection="1">
      <alignment horizontal="center"/>
      <protection hidden="1"/>
    </xf>
    <xf numFmtId="0" fontId="26" fillId="22" borderId="54" xfId="3" applyFont="1" applyFill="1" applyBorder="1" applyAlignment="1" applyProtection="1">
      <alignment horizontal="center"/>
      <protection hidden="1"/>
    </xf>
    <xf numFmtId="0" fontId="12" fillId="3" borderId="62" xfId="3" applyFont="1" applyFill="1" applyBorder="1" applyAlignment="1" applyProtection="1">
      <alignment horizontal="center" vertical="center"/>
      <protection hidden="1"/>
    </xf>
    <xf numFmtId="0" fontId="12" fillId="3" borderId="40" xfId="3" applyFont="1" applyFill="1" applyBorder="1" applyAlignment="1" applyProtection="1">
      <alignment horizontal="center" vertical="center"/>
      <protection hidden="1"/>
    </xf>
    <xf numFmtId="0" fontId="12" fillId="3" borderId="45" xfId="3" applyFont="1" applyFill="1" applyBorder="1" applyAlignment="1" applyProtection="1">
      <alignment horizontal="center" vertical="center"/>
      <protection hidden="1"/>
    </xf>
    <xf numFmtId="0" fontId="12" fillId="3" borderId="72" xfId="3" applyFont="1" applyFill="1" applyBorder="1" applyAlignment="1" applyProtection="1">
      <alignment horizontal="center" vertical="center"/>
      <protection hidden="1"/>
    </xf>
    <xf numFmtId="0" fontId="12" fillId="3" borderId="34" xfId="3" applyFont="1" applyFill="1" applyBorder="1" applyAlignment="1" applyProtection="1">
      <alignment horizontal="center" vertical="center"/>
      <protection hidden="1"/>
    </xf>
    <xf numFmtId="0" fontId="12" fillId="3" borderId="42" xfId="3" applyFont="1" applyFill="1" applyBorder="1" applyAlignment="1" applyProtection="1">
      <alignment horizontal="center" vertical="center"/>
      <protection hidden="1"/>
    </xf>
    <xf numFmtId="0" fontId="28" fillId="30" borderId="62" xfId="3" applyFont="1" applyFill="1" applyBorder="1" applyAlignment="1" applyProtection="1">
      <alignment horizontal="center" vertical="center" wrapText="1"/>
      <protection hidden="1"/>
    </xf>
    <xf numFmtId="0" fontId="28" fillId="30" borderId="40" xfId="3" applyFont="1" applyFill="1" applyBorder="1" applyAlignment="1" applyProtection="1">
      <alignment horizontal="center" vertical="center" wrapText="1"/>
      <protection hidden="1"/>
    </xf>
    <xf numFmtId="0" fontId="28" fillId="30" borderId="45" xfId="3" applyFont="1" applyFill="1" applyBorder="1" applyAlignment="1" applyProtection="1">
      <alignment horizontal="center" vertical="center" wrapText="1"/>
      <protection hidden="1"/>
    </xf>
    <xf numFmtId="0" fontId="28" fillId="30" borderId="72" xfId="3" applyFont="1" applyFill="1" applyBorder="1" applyAlignment="1" applyProtection="1">
      <alignment horizontal="center" vertical="center" wrapText="1"/>
      <protection hidden="1"/>
    </xf>
    <xf numFmtId="0" fontId="28" fillId="30" borderId="34" xfId="3" applyFont="1" applyFill="1" applyBorder="1" applyAlignment="1" applyProtection="1">
      <alignment horizontal="center" vertical="center" wrapText="1"/>
      <protection hidden="1"/>
    </xf>
    <xf numFmtId="0" fontId="28" fillId="30" borderId="42" xfId="3" applyFont="1" applyFill="1" applyBorder="1" applyAlignment="1" applyProtection="1">
      <alignment horizontal="center" vertical="center" wrapText="1"/>
      <protection hidden="1"/>
    </xf>
    <xf numFmtId="0" fontId="33" fillId="0" borderId="61" xfId="3" applyFont="1" applyBorder="1" applyAlignment="1" applyProtection="1">
      <alignment horizontal="center" textRotation="90" wrapText="1"/>
      <protection hidden="1"/>
    </xf>
    <xf numFmtId="0" fontId="33" fillId="0" borderId="78" xfId="3" applyFont="1" applyBorder="1" applyAlignment="1" applyProtection="1">
      <alignment horizontal="center" textRotation="90" wrapText="1"/>
      <protection hidden="1"/>
    </xf>
    <xf numFmtId="0" fontId="33" fillId="0" borderId="58" xfId="3" applyFont="1" applyBorder="1" applyAlignment="1" applyProtection="1">
      <alignment horizontal="center" textRotation="90" wrapText="1"/>
      <protection hidden="1"/>
    </xf>
    <xf numFmtId="0" fontId="27" fillId="4" borderId="1" xfId="3" applyFont="1" applyFill="1" applyBorder="1" applyAlignment="1" applyProtection="1">
      <alignment horizontal="center"/>
      <protection hidden="1"/>
    </xf>
    <xf numFmtId="0" fontId="33" fillId="4" borderId="1" xfId="3" applyFont="1" applyFill="1" applyBorder="1" applyAlignment="1" applyProtection="1">
      <alignment horizontal="center"/>
      <protection hidden="1"/>
    </xf>
    <xf numFmtId="0" fontId="29" fillId="4" borderId="1" xfId="3" applyFont="1" applyFill="1" applyBorder="1" applyAlignment="1" applyProtection="1">
      <alignment horizontal="center"/>
      <protection hidden="1"/>
    </xf>
    <xf numFmtId="0" fontId="29" fillId="4" borderId="37" xfId="3" applyFont="1" applyFill="1" applyBorder="1" applyAlignment="1" applyProtection="1">
      <alignment horizontal="center"/>
      <protection hidden="1"/>
    </xf>
    <xf numFmtId="0" fontId="27" fillId="29" borderId="44" xfId="3" applyFont="1" applyFill="1" applyBorder="1" applyAlignment="1" applyProtection="1">
      <alignment horizontal="center" vertical="center"/>
      <protection hidden="1"/>
    </xf>
    <xf numFmtId="0" fontId="27" fillId="29" borderId="76" xfId="3" applyFont="1" applyFill="1" applyBorder="1" applyAlignment="1" applyProtection="1">
      <alignment horizontal="center"/>
      <protection hidden="1"/>
    </xf>
    <xf numFmtId="0" fontId="27" fillId="29" borderId="54" xfId="3" applyFont="1" applyFill="1" applyBorder="1" applyAlignment="1" applyProtection="1">
      <alignment horizontal="center"/>
      <protection hidden="1"/>
    </xf>
    <xf numFmtId="0" fontId="29" fillId="19" borderId="56" xfId="3" applyFont="1" applyFill="1" applyBorder="1" applyAlignment="1" applyProtection="1">
      <alignment horizontal="center" textRotation="90"/>
      <protection hidden="1"/>
    </xf>
    <xf numFmtId="0" fontId="27" fillId="4" borderId="43" xfId="3" applyFont="1" applyFill="1" applyBorder="1" applyAlignment="1" applyProtection="1">
      <alignment horizontal="center"/>
      <protection hidden="1"/>
    </xf>
    <xf numFmtId="0" fontId="27" fillId="4" borderId="34" xfId="3" applyFont="1" applyFill="1" applyBorder="1" applyAlignment="1" applyProtection="1">
      <alignment horizontal="center"/>
      <protection hidden="1"/>
    </xf>
    <xf numFmtId="0" fontId="27" fillId="4" borderId="39" xfId="3" applyFont="1" applyFill="1" applyBorder="1" applyAlignment="1" applyProtection="1">
      <alignment horizontal="center"/>
      <protection hidden="1"/>
    </xf>
    <xf numFmtId="0" fontId="27" fillId="4" borderId="70" xfId="3" applyFont="1" applyFill="1" applyBorder="1" applyAlignment="1" applyProtection="1">
      <alignment horizontal="center"/>
      <protection hidden="1"/>
    </xf>
    <xf numFmtId="0" fontId="33" fillId="19" borderId="37" xfId="3" applyFont="1" applyFill="1" applyBorder="1" applyAlignment="1" applyProtection="1">
      <alignment horizontal="center" wrapText="1"/>
      <protection hidden="1"/>
    </xf>
    <xf numFmtId="0" fontId="33" fillId="19" borderId="1" xfId="3" applyFont="1" applyFill="1" applyBorder="1" applyAlignment="1" applyProtection="1">
      <alignment horizontal="center" wrapText="1"/>
      <protection hidden="1"/>
    </xf>
    <xf numFmtId="0" fontId="29" fillId="4" borderId="37" xfId="3" applyFont="1" applyFill="1" applyBorder="1" applyAlignment="1" applyProtection="1">
      <alignment horizontal="center" textRotation="90" wrapText="1"/>
      <protection hidden="1"/>
    </xf>
    <xf numFmtId="0" fontId="29" fillId="4" borderId="1" xfId="3" applyFont="1" applyFill="1" applyBorder="1" applyAlignment="1" applyProtection="1">
      <alignment horizontal="center" textRotation="90" wrapText="1"/>
      <protection hidden="1"/>
    </xf>
    <xf numFmtId="0" fontId="30" fillId="29" borderId="74" xfId="3" applyFont="1" applyFill="1" applyBorder="1" applyAlignment="1" applyProtection="1">
      <alignment horizontal="center"/>
      <protection hidden="1"/>
    </xf>
    <xf numFmtId="0" fontId="30" fillId="29" borderId="0" xfId="3" applyFont="1" applyFill="1" applyAlignment="1" applyProtection="1">
      <alignment horizontal="center" vertical="center"/>
      <protection hidden="1"/>
    </xf>
    <xf numFmtId="0" fontId="30" fillId="29" borderId="34" xfId="3" applyFont="1" applyFill="1" applyBorder="1" applyAlignment="1" applyProtection="1">
      <alignment horizontal="center"/>
      <protection hidden="1"/>
    </xf>
    <xf numFmtId="0" fontId="29" fillId="4" borderId="38" xfId="3" applyFont="1" applyFill="1" applyBorder="1" applyAlignment="1" applyProtection="1">
      <alignment horizontal="center"/>
      <protection hidden="1"/>
    </xf>
    <xf numFmtId="0" fontId="29" fillId="4" borderId="39" xfId="3" applyFont="1" applyFill="1" applyBorder="1" applyAlignment="1" applyProtection="1">
      <alignment horizontal="center"/>
      <protection hidden="1"/>
    </xf>
    <xf numFmtId="0" fontId="12" fillId="19" borderId="46" xfId="3" applyFont="1" applyFill="1" applyBorder="1" applyAlignment="1" applyProtection="1">
      <alignment horizontal="center" vertical="top" wrapText="1"/>
      <protection hidden="1"/>
    </xf>
    <xf numFmtId="0" fontId="12" fillId="19" borderId="44" xfId="3" applyFont="1" applyFill="1" applyBorder="1" applyAlignment="1" applyProtection="1">
      <alignment horizontal="center" vertical="top" wrapText="1"/>
      <protection hidden="1"/>
    </xf>
    <xf numFmtId="0" fontId="30" fillId="29" borderId="39" xfId="3" applyFont="1" applyFill="1" applyBorder="1" applyAlignment="1" applyProtection="1">
      <alignment horizontal="center"/>
      <protection hidden="1"/>
    </xf>
    <xf numFmtId="0" fontId="30" fillId="29" borderId="36" xfId="3" applyFont="1" applyFill="1" applyBorder="1" applyAlignment="1" applyProtection="1">
      <alignment horizontal="center"/>
      <protection hidden="1"/>
    </xf>
    <xf numFmtId="0" fontId="27" fillId="29" borderId="44" xfId="3" applyFont="1" applyFill="1" applyBorder="1" applyAlignment="1" applyProtection="1">
      <alignment horizontal="center"/>
      <protection hidden="1"/>
    </xf>
    <xf numFmtId="0" fontId="27" fillId="29" borderId="0" xfId="3" applyFont="1" applyFill="1" applyAlignment="1" applyProtection="1">
      <alignment horizontal="center"/>
      <protection hidden="1"/>
    </xf>
    <xf numFmtId="0" fontId="26" fillId="0" borderId="35" xfId="3" applyFont="1" applyBorder="1" applyAlignment="1" applyProtection="1">
      <alignment horizontal="center"/>
      <protection hidden="1"/>
    </xf>
    <xf numFmtId="0" fontId="26" fillId="0" borderId="41" xfId="3" applyFont="1" applyBorder="1" applyAlignment="1" applyProtection="1">
      <alignment horizontal="center"/>
      <protection hidden="1"/>
    </xf>
    <xf numFmtId="0" fontId="33" fillId="19" borderId="35" xfId="3" applyFont="1" applyFill="1" applyBorder="1" applyAlignment="1" applyProtection="1">
      <alignment horizontal="left" textRotation="90" wrapText="1"/>
      <protection hidden="1"/>
    </xf>
    <xf numFmtId="0" fontId="33" fillId="19" borderId="41" xfId="3" applyFont="1" applyFill="1" applyBorder="1" applyAlignment="1" applyProtection="1">
      <alignment horizontal="left" textRotation="90" wrapText="1"/>
      <protection hidden="1"/>
    </xf>
    <xf numFmtId="0" fontId="33" fillId="19" borderId="35" xfId="3" applyFont="1" applyFill="1" applyBorder="1" applyAlignment="1" applyProtection="1">
      <alignment horizontal="justify" textRotation="90" wrapText="1"/>
      <protection hidden="1"/>
    </xf>
    <xf numFmtId="0" fontId="33" fillId="19" borderId="41" xfId="3" applyFont="1" applyFill="1" applyBorder="1" applyAlignment="1" applyProtection="1">
      <alignment horizontal="justify" textRotation="90" wrapText="1"/>
      <protection hidden="1"/>
    </xf>
    <xf numFmtId="0" fontId="33" fillId="0" borderId="35" xfId="3" applyFont="1" applyBorder="1" applyAlignment="1" applyProtection="1">
      <alignment horizontal="center" textRotation="90" wrapText="1"/>
      <protection hidden="1"/>
    </xf>
    <xf numFmtId="0" fontId="33" fillId="0" borderId="41" xfId="3" applyFont="1" applyBorder="1" applyAlignment="1" applyProtection="1">
      <alignment horizontal="center" textRotation="90" wrapText="1"/>
      <protection hidden="1"/>
    </xf>
    <xf numFmtId="167" fontId="30" fillId="29" borderId="34" xfId="3" applyNumberFormat="1" applyFont="1" applyFill="1" applyBorder="1" applyAlignment="1" applyProtection="1">
      <alignment horizontal="center" wrapText="1"/>
      <protection hidden="1"/>
    </xf>
    <xf numFmtId="0" fontId="27" fillId="30" borderId="44" xfId="3" applyFont="1" applyFill="1" applyBorder="1" applyAlignment="1" applyProtection="1">
      <alignment horizontal="center" vertical="center" wrapText="1"/>
      <protection hidden="1"/>
    </xf>
    <xf numFmtId="0" fontId="27" fillId="30" borderId="0" xfId="3" applyFont="1" applyFill="1" applyAlignment="1" applyProtection="1">
      <alignment horizontal="center" vertical="center" wrapText="1"/>
      <protection hidden="1"/>
    </xf>
    <xf numFmtId="0" fontId="27" fillId="30" borderId="43" xfId="3" applyFont="1" applyFill="1" applyBorder="1" applyAlignment="1" applyProtection="1">
      <alignment horizontal="center" vertical="center" wrapText="1"/>
      <protection hidden="1"/>
    </xf>
    <xf numFmtId="0" fontId="27" fillId="30" borderId="34" xfId="3" applyFont="1" applyFill="1" applyBorder="1" applyAlignment="1" applyProtection="1">
      <alignment horizontal="center" vertical="center" wrapText="1"/>
      <protection hidden="1"/>
    </xf>
    <xf numFmtId="0" fontId="36" fillId="22" borderId="46" xfId="3" applyFont="1" applyFill="1" applyBorder="1" applyAlignment="1" applyProtection="1">
      <alignment horizontal="center"/>
      <protection hidden="1"/>
    </xf>
    <xf numFmtId="0" fontId="36" fillId="22" borderId="40" xfId="3" applyFont="1" applyFill="1" applyBorder="1" applyAlignment="1" applyProtection="1">
      <alignment horizontal="center"/>
      <protection hidden="1"/>
    </xf>
    <xf numFmtId="0" fontId="27" fillId="29" borderId="46" xfId="3" applyFont="1" applyFill="1" applyBorder="1" applyAlignment="1" applyProtection="1">
      <alignment horizontal="center" vertical="center"/>
      <protection hidden="1"/>
    </xf>
    <xf numFmtId="0" fontId="27" fillId="29" borderId="40" xfId="3" applyFont="1" applyFill="1" applyBorder="1" applyAlignment="1" applyProtection="1">
      <alignment horizontal="center" vertical="center"/>
      <protection hidden="1"/>
    </xf>
    <xf numFmtId="0" fontId="27" fillId="29" borderId="40" xfId="3" applyFont="1" applyFill="1" applyBorder="1" applyAlignment="1" applyProtection="1">
      <alignment horizontal="center"/>
      <protection hidden="1"/>
    </xf>
    <xf numFmtId="0" fontId="30" fillId="29" borderId="40" xfId="3" applyFont="1" applyFill="1" applyBorder="1" applyAlignment="1" applyProtection="1">
      <alignment horizontal="left"/>
      <protection hidden="1"/>
    </xf>
    <xf numFmtId="0" fontId="18" fillId="0" borderId="0" xfId="3" applyFont="1" applyAlignment="1" applyProtection="1">
      <alignment horizontal="center"/>
      <protection hidden="1"/>
    </xf>
    <xf numFmtId="0" fontId="16" fillId="0" borderId="41" xfId="3" applyFont="1" applyBorder="1" applyAlignment="1" applyProtection="1">
      <alignment horizontal="center" vertical="center" textRotation="90" wrapText="1"/>
      <protection hidden="1"/>
    </xf>
    <xf numFmtId="0" fontId="16" fillId="0" borderId="37" xfId="3" applyFont="1" applyBorder="1" applyAlignment="1" applyProtection="1">
      <alignment horizontal="center" vertical="center" textRotation="90" wrapText="1"/>
      <protection hidden="1"/>
    </xf>
    <xf numFmtId="0" fontId="35" fillId="23" borderId="35" xfId="3" applyFont="1" applyFill="1" applyBorder="1" applyAlignment="1" applyProtection="1">
      <alignment horizontal="center" vertical="center" textRotation="90" wrapText="1"/>
      <protection hidden="1"/>
    </xf>
    <xf numFmtId="0" fontId="35" fillId="23" borderId="41" xfId="3" applyFont="1" applyFill="1" applyBorder="1" applyAlignment="1" applyProtection="1">
      <alignment horizontal="center" vertical="center" textRotation="90" wrapText="1"/>
      <protection hidden="1"/>
    </xf>
    <xf numFmtId="0" fontId="29" fillId="4" borderId="43" xfId="3" applyFont="1" applyFill="1" applyBorder="1" applyAlignment="1" applyProtection="1">
      <alignment horizontal="center"/>
      <protection hidden="1"/>
    </xf>
    <xf numFmtId="0" fontId="29" fillId="4" borderId="34" xfId="3" applyFont="1" applyFill="1" applyBorder="1" applyAlignment="1" applyProtection="1">
      <alignment horizontal="center"/>
      <protection hidden="1"/>
    </xf>
    <xf numFmtId="0" fontId="12" fillId="3" borderId="46" xfId="3" applyFont="1" applyFill="1" applyBorder="1" applyAlignment="1" applyProtection="1">
      <alignment horizontal="center" vertical="center"/>
      <protection hidden="1"/>
    </xf>
    <xf numFmtId="0" fontId="12" fillId="3" borderId="43" xfId="3" applyFont="1" applyFill="1" applyBorder="1" applyAlignment="1" applyProtection="1">
      <alignment horizontal="center" vertical="center"/>
      <protection hidden="1"/>
    </xf>
    <xf numFmtId="0" fontId="37" fillId="4" borderId="38" xfId="3" applyFont="1" applyFill="1" applyBorder="1" applyAlignment="1" applyProtection="1">
      <alignment horizontal="center"/>
      <protection hidden="1"/>
    </xf>
    <xf numFmtId="0" fontId="37" fillId="4" borderId="39" xfId="3" applyFont="1" applyFill="1" applyBorder="1" applyAlignment="1" applyProtection="1">
      <alignment horizontal="center"/>
      <protection hidden="1"/>
    </xf>
    <xf numFmtId="0" fontId="33" fillId="19" borderId="46" xfId="3" applyFont="1" applyFill="1" applyBorder="1" applyAlignment="1" applyProtection="1">
      <alignment horizontal="center" vertical="top" wrapText="1"/>
      <protection hidden="1"/>
    </xf>
    <xf numFmtId="0" fontId="33" fillId="19" borderId="44" xfId="3" applyFont="1" applyFill="1" applyBorder="1" applyAlignment="1" applyProtection="1">
      <alignment horizontal="center" vertical="top" wrapText="1"/>
      <protection hidden="1"/>
    </xf>
    <xf numFmtId="0" fontId="16" fillId="19" borderId="46" xfId="3" applyFont="1" applyFill="1" applyBorder="1" applyAlignment="1" applyProtection="1">
      <alignment horizontal="center" vertical="top" wrapText="1"/>
      <protection hidden="1"/>
    </xf>
    <xf numFmtId="0" fontId="16" fillId="19" borderId="44" xfId="3" applyFont="1" applyFill="1" applyBorder="1" applyAlignment="1" applyProtection="1">
      <alignment horizontal="center" vertical="top" wrapText="1"/>
      <protection hidden="1"/>
    </xf>
    <xf numFmtId="0" fontId="33" fillId="19" borderId="38" xfId="3" applyFont="1" applyFill="1" applyBorder="1" applyAlignment="1" applyProtection="1">
      <alignment horizontal="center" vertical="center" wrapText="1"/>
      <protection hidden="1"/>
    </xf>
    <xf numFmtId="0" fontId="33" fillId="19" borderId="39" xfId="3" applyFont="1" applyFill="1" applyBorder="1" applyAlignment="1" applyProtection="1">
      <alignment horizontal="center" vertical="center" wrapText="1"/>
      <protection hidden="1"/>
    </xf>
    <xf numFmtId="0" fontId="27" fillId="31" borderId="38" xfId="3" applyFont="1" applyFill="1" applyBorder="1" applyAlignment="1" applyProtection="1">
      <alignment horizontal="center"/>
      <protection hidden="1"/>
    </xf>
    <xf numFmtId="0" fontId="27" fillId="31" borderId="39" xfId="3" applyFont="1" applyFill="1" applyBorder="1" applyAlignment="1" applyProtection="1">
      <alignment horizontal="center"/>
      <protection hidden="1"/>
    </xf>
    <xf numFmtId="0" fontId="27" fillId="31" borderId="36" xfId="3" applyFont="1" applyFill="1" applyBorder="1" applyAlignment="1" applyProtection="1">
      <alignment horizontal="center"/>
      <protection hidden="1"/>
    </xf>
    <xf numFmtId="0" fontId="30" fillId="0" borderId="38" xfId="3" applyFont="1" applyBorder="1" applyAlignment="1" applyProtection="1">
      <alignment horizontal="center"/>
      <protection locked="0"/>
    </xf>
    <xf numFmtId="0" fontId="30" fillId="0" borderId="39" xfId="3" applyFont="1" applyBorder="1" applyAlignment="1" applyProtection="1">
      <alignment horizontal="center"/>
      <protection locked="0"/>
    </xf>
    <xf numFmtId="0" fontId="30" fillId="0" borderId="36" xfId="3" applyFont="1" applyBorder="1" applyAlignment="1" applyProtection="1">
      <alignment horizontal="center"/>
      <protection locked="0"/>
    </xf>
    <xf numFmtId="0" fontId="30" fillId="0" borderId="1" xfId="3" applyFont="1" applyBorder="1" applyAlignment="1" applyProtection="1">
      <alignment horizontal="center"/>
      <protection locked="0"/>
    </xf>
    <xf numFmtId="1" fontId="39" fillId="0" borderId="38" xfId="3" applyNumberFormat="1" applyFont="1" applyBorder="1" applyAlignment="1" applyProtection="1">
      <alignment horizontal="center"/>
      <protection locked="0"/>
    </xf>
    <xf numFmtId="1" fontId="39" fillId="0" borderId="39" xfId="3" applyNumberFormat="1" applyFont="1" applyBorder="1" applyAlignment="1" applyProtection="1">
      <alignment horizontal="center"/>
      <protection locked="0"/>
    </xf>
    <xf numFmtId="1" fontId="39" fillId="0" borderId="70" xfId="3" applyNumberFormat="1" applyFont="1" applyBorder="1" applyAlignment="1" applyProtection="1">
      <alignment horizontal="center"/>
      <protection locked="0"/>
    </xf>
    <xf numFmtId="1" fontId="27" fillId="0" borderId="1" xfId="3" applyNumberFormat="1" applyFont="1" applyBorder="1" applyAlignment="1" applyProtection="1">
      <alignment horizontal="center"/>
      <protection hidden="1"/>
    </xf>
    <xf numFmtId="0" fontId="27" fillId="0" borderId="1" xfId="3" applyFont="1" applyBorder="1" applyAlignment="1" applyProtection="1">
      <alignment horizontal="center"/>
      <protection hidden="1"/>
    </xf>
    <xf numFmtId="0" fontId="26" fillId="29" borderId="0" xfId="3" applyFont="1" applyFill="1" applyAlignment="1" applyProtection="1">
      <alignment horizontal="center"/>
      <protection hidden="1"/>
    </xf>
    <xf numFmtId="0" fontId="34" fillId="0" borderId="0" xfId="3" applyFont="1" applyAlignment="1" applyProtection="1">
      <alignment horizontal="left"/>
      <protection hidden="1"/>
    </xf>
    <xf numFmtId="0" fontId="30" fillId="0" borderId="65" xfId="3" applyFont="1" applyBorder="1" applyAlignment="1" applyProtection="1">
      <alignment horizontal="center"/>
      <protection locked="0"/>
    </xf>
    <xf numFmtId="0" fontId="30" fillId="0" borderId="52" xfId="3" applyFont="1" applyBorder="1" applyAlignment="1" applyProtection="1">
      <alignment horizontal="center"/>
      <protection locked="0"/>
    </xf>
    <xf numFmtId="164" fontId="39" fillId="0" borderId="38" xfId="3" applyNumberFormat="1" applyFont="1" applyBorder="1" applyAlignment="1" applyProtection="1">
      <alignment horizontal="center"/>
      <protection locked="0"/>
    </xf>
    <xf numFmtId="164" fontId="39" fillId="0" borderId="39" xfId="3" applyNumberFormat="1" applyFont="1" applyBorder="1" applyAlignment="1" applyProtection="1">
      <alignment horizontal="center"/>
      <protection locked="0"/>
    </xf>
    <xf numFmtId="164" fontId="39" fillId="0" borderId="36" xfId="3" applyNumberFormat="1" applyFont="1" applyBorder="1" applyAlignment="1" applyProtection="1">
      <alignment horizontal="center"/>
      <protection locked="0"/>
    </xf>
    <xf numFmtId="0" fontId="39" fillId="0" borderId="38" xfId="3" applyFont="1" applyBorder="1" applyAlignment="1" applyProtection="1">
      <alignment horizontal="center"/>
      <protection locked="0"/>
    </xf>
    <xf numFmtId="0" fontId="39" fillId="0" borderId="39" xfId="3" applyFont="1" applyBorder="1" applyAlignment="1" applyProtection="1">
      <alignment horizontal="center"/>
      <protection locked="0"/>
    </xf>
    <xf numFmtId="0" fontId="39" fillId="0" borderId="36" xfId="3" applyFont="1" applyBorder="1" applyAlignment="1" applyProtection="1">
      <alignment horizontal="center"/>
      <protection locked="0"/>
    </xf>
    <xf numFmtId="0" fontId="33" fillId="4" borderId="60" xfId="3" applyFont="1" applyFill="1" applyBorder="1" applyAlignment="1" applyProtection="1">
      <alignment horizontal="center" vertical="center"/>
      <protection hidden="1"/>
    </xf>
    <xf numFmtId="0" fontId="33" fillId="4" borderId="1" xfId="3" applyFont="1" applyFill="1" applyBorder="1" applyAlignment="1" applyProtection="1">
      <alignment horizontal="center" vertical="center"/>
      <protection hidden="1"/>
    </xf>
    <xf numFmtId="164" fontId="30" fillId="23" borderId="60" xfId="3" applyNumberFormat="1" applyFont="1" applyFill="1" applyBorder="1" applyAlignment="1" applyProtection="1">
      <alignment horizontal="center"/>
      <protection hidden="1"/>
    </xf>
    <xf numFmtId="164" fontId="30" fillId="23" borderId="1" xfId="3" applyNumberFormat="1" applyFont="1" applyFill="1" applyBorder="1" applyAlignment="1" applyProtection="1">
      <alignment horizontal="center"/>
      <protection hidden="1"/>
    </xf>
    <xf numFmtId="0" fontId="33" fillId="31" borderId="1" xfId="3" applyFont="1" applyFill="1" applyBorder="1" applyAlignment="1" applyProtection="1">
      <alignment horizontal="center"/>
      <protection hidden="1"/>
    </xf>
    <xf numFmtId="0" fontId="40" fillId="22" borderId="55" xfId="3" applyFont="1" applyFill="1" applyBorder="1" applyAlignment="1" applyProtection="1">
      <alignment horizontal="center"/>
      <protection hidden="1"/>
    </xf>
    <xf numFmtId="0" fontId="40" fillId="22" borderId="54" xfId="3" applyFont="1" applyFill="1" applyBorder="1" applyAlignment="1" applyProtection="1">
      <alignment horizontal="center"/>
      <protection hidden="1"/>
    </xf>
    <xf numFmtId="0" fontId="26" fillId="30" borderId="59" xfId="3" applyFont="1" applyFill="1" applyBorder="1" applyAlignment="1" applyProtection="1">
      <alignment horizontal="center" vertical="center" wrapText="1"/>
      <protection hidden="1"/>
    </xf>
    <xf numFmtId="0" fontId="26" fillId="30" borderId="0" xfId="3" applyFont="1" applyFill="1" applyAlignment="1" applyProtection="1">
      <alignment horizontal="center" vertical="center" wrapText="1"/>
      <protection hidden="1"/>
    </xf>
    <xf numFmtId="0" fontId="26" fillId="30" borderId="72" xfId="3" applyFont="1" applyFill="1" applyBorder="1" applyAlignment="1" applyProtection="1">
      <alignment horizontal="center" vertical="center" wrapText="1"/>
      <protection hidden="1"/>
    </xf>
    <xf numFmtId="0" fontId="26" fillId="30" borderId="34" xfId="3" applyFont="1" applyFill="1" applyBorder="1" applyAlignment="1" applyProtection="1">
      <alignment horizontal="center" vertical="center" wrapText="1"/>
      <protection hidden="1"/>
    </xf>
    <xf numFmtId="0" fontId="33" fillId="4" borderId="71" xfId="3" applyFont="1" applyFill="1" applyBorder="1" applyAlignment="1" applyProtection="1">
      <alignment horizontal="center"/>
      <protection hidden="1"/>
    </xf>
    <xf numFmtId="0" fontId="33" fillId="4" borderId="39" xfId="3" applyFont="1" applyFill="1" applyBorder="1" applyAlignment="1" applyProtection="1">
      <alignment horizontal="center"/>
      <protection hidden="1"/>
    </xf>
    <xf numFmtId="0" fontId="33" fillId="4" borderId="70" xfId="3" applyFont="1" applyFill="1" applyBorder="1" applyAlignment="1" applyProtection="1">
      <alignment horizontal="center"/>
      <protection hidden="1"/>
    </xf>
    <xf numFmtId="0" fontId="35" fillId="4" borderId="37" xfId="3" applyFont="1" applyFill="1" applyBorder="1" applyAlignment="1" applyProtection="1">
      <alignment horizontal="center" vertical="center" wrapText="1"/>
      <protection hidden="1"/>
    </xf>
    <xf numFmtId="0" fontId="33" fillId="4" borderId="37" xfId="3" applyFont="1" applyFill="1" applyBorder="1" applyAlignment="1" applyProtection="1">
      <alignment horizontal="center" vertical="center" wrapText="1"/>
      <protection hidden="1"/>
    </xf>
    <xf numFmtId="0" fontId="26" fillId="29" borderId="76" xfId="3" applyFont="1" applyFill="1" applyBorder="1" applyAlignment="1" applyProtection="1">
      <alignment horizontal="center"/>
      <protection hidden="1"/>
    </xf>
    <xf numFmtId="0" fontId="26" fillId="29" borderId="54" xfId="3" applyFont="1" applyFill="1" applyBorder="1" applyAlignment="1" applyProtection="1">
      <alignment horizontal="center"/>
      <protection hidden="1"/>
    </xf>
    <xf numFmtId="0" fontId="26" fillId="29" borderId="44" xfId="3" applyFont="1" applyFill="1" applyBorder="1" applyAlignment="1" applyProtection="1">
      <alignment horizontal="center" vertical="center"/>
      <protection hidden="1"/>
    </xf>
    <xf numFmtId="0" fontId="26" fillId="29" borderId="0" xfId="3" applyFont="1" applyFill="1" applyAlignment="1" applyProtection="1">
      <alignment horizontal="center" vertical="center"/>
      <protection hidden="1"/>
    </xf>
    <xf numFmtId="0" fontId="33" fillId="31" borderId="38" xfId="3" applyFont="1" applyFill="1" applyBorder="1" applyAlignment="1" applyProtection="1">
      <alignment horizontal="center"/>
      <protection hidden="1"/>
    </xf>
    <xf numFmtId="0" fontId="33" fillId="31" borderId="39" xfId="3" applyFont="1" applyFill="1" applyBorder="1" applyAlignment="1" applyProtection="1">
      <alignment horizontal="center"/>
      <protection hidden="1"/>
    </xf>
    <xf numFmtId="0" fontId="33" fillId="31" borderId="36" xfId="3" applyFont="1" applyFill="1" applyBorder="1" applyAlignment="1" applyProtection="1">
      <alignment horizontal="center"/>
      <protection hidden="1"/>
    </xf>
    <xf numFmtId="164" fontId="27" fillId="0" borderId="38" xfId="3" applyNumberFormat="1" applyFont="1" applyBorder="1" applyAlignment="1" applyProtection="1">
      <alignment horizontal="center"/>
      <protection hidden="1"/>
    </xf>
    <xf numFmtId="164" fontId="27" fillId="0" borderId="39" xfId="3" applyNumberFormat="1" applyFont="1" applyBorder="1" applyAlignment="1" applyProtection="1">
      <alignment horizontal="center"/>
      <protection hidden="1"/>
    </xf>
    <xf numFmtId="164" fontId="27" fillId="0" borderId="36" xfId="3" applyNumberFormat="1" applyFont="1" applyBorder="1" applyAlignment="1" applyProtection="1">
      <alignment horizontal="center"/>
      <protection hidden="1"/>
    </xf>
    <xf numFmtId="0" fontId="33" fillId="0" borderId="34" xfId="3" applyFont="1" applyBorder="1" applyAlignment="1" applyProtection="1">
      <alignment horizontal="center"/>
      <protection hidden="1"/>
    </xf>
    <xf numFmtId="0" fontId="35" fillId="4" borderId="43" xfId="3" applyFont="1" applyFill="1" applyBorder="1" applyAlignment="1" applyProtection="1">
      <alignment horizontal="center" vertical="center" wrapText="1"/>
      <protection hidden="1"/>
    </xf>
    <xf numFmtId="0" fontId="35" fillId="4" borderId="34" xfId="3" applyFont="1" applyFill="1" applyBorder="1" applyAlignment="1" applyProtection="1">
      <alignment horizontal="center" vertical="center" wrapText="1"/>
      <protection hidden="1"/>
    </xf>
    <xf numFmtId="0" fontId="35" fillId="4" borderId="66" xfId="3" applyFont="1" applyFill="1" applyBorder="1" applyAlignment="1" applyProtection="1">
      <alignment horizontal="center" vertical="center" wrapText="1"/>
      <protection hidden="1"/>
    </xf>
    <xf numFmtId="0" fontId="27" fillId="3" borderId="62" xfId="3" applyFont="1" applyFill="1" applyBorder="1" applyAlignment="1" applyProtection="1">
      <alignment horizontal="center" vertical="center"/>
      <protection hidden="1"/>
    </xf>
    <xf numFmtId="0" fontId="27" fillId="3" borderId="40" xfId="3" applyFont="1" applyFill="1" applyBorder="1" applyAlignment="1" applyProtection="1">
      <alignment horizontal="center" vertical="center"/>
      <protection hidden="1"/>
    </xf>
    <xf numFmtId="0" fontId="27" fillId="3" borderId="72" xfId="3" applyFont="1" applyFill="1" applyBorder="1" applyAlignment="1" applyProtection="1">
      <alignment horizontal="center" vertical="center"/>
      <protection hidden="1"/>
    </xf>
    <xf numFmtId="0" fontId="27" fillId="3" borderId="34" xfId="3" applyFont="1" applyFill="1" applyBorder="1" applyAlignment="1" applyProtection="1">
      <alignment horizontal="center" vertical="center"/>
      <protection hidden="1"/>
    </xf>
    <xf numFmtId="0" fontId="33" fillId="4" borderId="37" xfId="3" applyFont="1" applyFill="1" applyBorder="1" applyAlignment="1" applyProtection="1">
      <alignment horizontal="center" vertical="center"/>
      <protection hidden="1"/>
    </xf>
    <xf numFmtId="0" fontId="35" fillId="31" borderId="43" xfId="3" applyFont="1" applyFill="1" applyBorder="1" applyAlignment="1" applyProtection="1">
      <alignment horizontal="center" wrapText="1"/>
      <protection hidden="1"/>
    </xf>
    <xf numFmtId="0" fontId="35" fillId="31" borderId="34" xfId="3" applyFont="1" applyFill="1" applyBorder="1" applyAlignment="1" applyProtection="1">
      <alignment horizontal="center" wrapText="1"/>
      <protection hidden="1"/>
    </xf>
    <xf numFmtId="0" fontId="35" fillId="31" borderId="66" xfId="3" applyFont="1" applyFill="1" applyBorder="1" applyAlignment="1" applyProtection="1">
      <alignment horizontal="center" wrapText="1"/>
      <protection hidden="1"/>
    </xf>
    <xf numFmtId="0" fontId="33" fillId="31" borderId="60" xfId="3" applyFont="1" applyFill="1" applyBorder="1" applyAlignment="1" applyProtection="1">
      <alignment horizontal="center"/>
      <protection hidden="1"/>
    </xf>
    <xf numFmtId="0" fontId="16" fillId="31" borderId="1" xfId="3" applyFont="1" applyFill="1" applyBorder="1" applyAlignment="1" applyProtection="1">
      <alignment horizontal="center"/>
      <protection hidden="1"/>
    </xf>
    <xf numFmtId="0" fontId="35" fillId="31" borderId="1" xfId="3" applyFont="1" applyFill="1" applyBorder="1" applyAlignment="1" applyProtection="1">
      <alignment horizontal="center"/>
      <protection hidden="1"/>
    </xf>
    <xf numFmtId="167" fontId="30" fillId="29" borderId="34" xfId="3" applyNumberFormat="1" applyFont="1" applyFill="1" applyBorder="1" applyAlignment="1" applyProtection="1">
      <alignment horizontal="center"/>
      <protection hidden="1"/>
    </xf>
    <xf numFmtId="0" fontId="26" fillId="29" borderId="43" xfId="3" applyFont="1" applyFill="1" applyBorder="1" applyAlignment="1" applyProtection="1">
      <alignment horizontal="center" vertical="center"/>
      <protection hidden="1"/>
    </xf>
    <xf numFmtId="0" fontId="26" fillId="29" borderId="34" xfId="3" applyFont="1" applyFill="1" applyBorder="1" applyAlignment="1" applyProtection="1">
      <alignment horizontal="center" vertical="center"/>
      <protection hidden="1"/>
    </xf>
    <xf numFmtId="0" fontId="27" fillId="31" borderId="75" xfId="3" applyFont="1" applyFill="1" applyBorder="1" applyAlignment="1" applyProtection="1">
      <alignment horizontal="center"/>
      <protection hidden="1"/>
    </xf>
    <xf numFmtId="0" fontId="27" fillId="31" borderId="74" xfId="3" applyFont="1" applyFill="1" applyBorder="1" applyAlignment="1" applyProtection="1">
      <alignment horizontal="center"/>
      <protection hidden="1"/>
    </xf>
    <xf numFmtId="0" fontId="27" fillId="31" borderId="73" xfId="3" applyFont="1" applyFill="1" applyBorder="1" applyAlignment="1" applyProtection="1">
      <alignment horizontal="center"/>
      <protection hidden="1"/>
    </xf>
    <xf numFmtId="0" fontId="30" fillId="31" borderId="71" xfId="3" applyFont="1" applyFill="1" applyBorder="1" applyAlignment="1" applyProtection="1">
      <alignment horizontal="center"/>
      <protection locked="0"/>
    </xf>
    <xf numFmtId="0" fontId="30" fillId="31" borderId="39" xfId="3" applyFont="1" applyFill="1" applyBorder="1" applyAlignment="1" applyProtection="1">
      <alignment horizontal="center"/>
      <protection locked="0"/>
    </xf>
    <xf numFmtId="0" fontId="30" fillId="31" borderId="70" xfId="3" applyFont="1" applyFill="1" applyBorder="1" applyAlignment="1" applyProtection="1">
      <alignment horizontal="center"/>
      <protection locked="0"/>
    </xf>
    <xf numFmtId="0" fontId="30" fillId="31" borderId="62" xfId="3" applyFont="1" applyFill="1" applyBorder="1" applyAlignment="1" applyProtection="1">
      <alignment horizontal="center"/>
      <protection locked="0"/>
    </xf>
    <xf numFmtId="0" fontId="30" fillId="31" borderId="40" xfId="3" applyFont="1" applyFill="1" applyBorder="1" applyAlignment="1" applyProtection="1">
      <alignment horizontal="center"/>
      <protection locked="0"/>
    </xf>
    <xf numFmtId="0" fontId="30" fillId="31" borderId="67" xfId="3" applyFont="1" applyFill="1" applyBorder="1" applyAlignment="1" applyProtection="1">
      <alignment horizontal="center"/>
      <protection locked="0"/>
    </xf>
    <xf numFmtId="0" fontId="33" fillId="4" borderId="46" xfId="3" applyFont="1" applyFill="1" applyBorder="1" applyAlignment="1" applyProtection="1">
      <alignment horizontal="center" vertical="center" wrapText="1"/>
      <protection hidden="1"/>
    </xf>
    <xf numFmtId="0" fontId="33" fillId="4" borderId="40" xfId="3" applyFont="1" applyFill="1" applyBorder="1" applyAlignment="1" applyProtection="1">
      <alignment horizontal="center" vertical="center" wrapText="1"/>
      <protection hidden="1"/>
    </xf>
    <xf numFmtId="0" fontId="33" fillId="4" borderId="67" xfId="3" applyFont="1" applyFill="1" applyBorder="1" applyAlignment="1" applyProtection="1">
      <alignment horizontal="center" vertical="center" wrapText="1"/>
      <protection hidden="1"/>
    </xf>
    <xf numFmtId="0" fontId="33" fillId="4" borderId="44" xfId="3" applyFont="1" applyFill="1" applyBorder="1" applyAlignment="1" applyProtection="1">
      <alignment horizontal="center" vertical="center" wrapText="1"/>
      <protection hidden="1"/>
    </xf>
    <xf numFmtId="0" fontId="33" fillId="4" borderId="0" xfId="3" applyFont="1" applyFill="1" applyAlignment="1" applyProtection="1">
      <alignment horizontal="center" vertical="center" wrapText="1"/>
      <protection hidden="1"/>
    </xf>
    <xf numFmtId="0" fontId="33" fillId="4" borderId="63" xfId="3" applyFont="1" applyFill="1" applyBorder="1" applyAlignment="1" applyProtection="1">
      <alignment horizontal="center" vertical="center" wrapText="1"/>
      <protection hidden="1"/>
    </xf>
    <xf numFmtId="0" fontId="33" fillId="4" borderId="43" xfId="3" applyFont="1" applyFill="1" applyBorder="1" applyAlignment="1" applyProtection="1">
      <alignment horizontal="center" vertical="center" wrapText="1"/>
      <protection hidden="1"/>
    </xf>
    <xf numFmtId="0" fontId="33" fillId="4" borderId="34" xfId="3" applyFont="1" applyFill="1" applyBorder="1" applyAlignment="1" applyProtection="1">
      <alignment horizontal="center" vertical="center" wrapText="1"/>
      <protection hidden="1"/>
    </xf>
    <xf numFmtId="0" fontId="33" fillId="4" borderId="66" xfId="3" applyFont="1" applyFill="1" applyBorder="1" applyAlignment="1" applyProtection="1">
      <alignment horizontal="center" vertical="center" wrapText="1"/>
      <protection hidden="1"/>
    </xf>
    <xf numFmtId="0" fontId="31" fillId="0" borderId="34" xfId="3" applyFont="1" applyBorder="1" applyAlignment="1" applyProtection="1">
      <alignment horizontal="center"/>
      <protection hidden="1"/>
    </xf>
    <xf numFmtId="0" fontId="33" fillId="31" borderId="38" xfId="3" applyFont="1" applyFill="1" applyBorder="1" applyAlignment="1" applyProtection="1">
      <alignment horizontal="center" vertical="center"/>
      <protection hidden="1"/>
    </xf>
    <xf numFmtId="0" fontId="33" fillId="31" borderId="36" xfId="3" applyFont="1" applyFill="1" applyBorder="1" applyAlignment="1" applyProtection="1">
      <alignment horizontal="center" vertical="center"/>
      <protection hidden="1"/>
    </xf>
    <xf numFmtId="0" fontId="33" fillId="31" borderId="39" xfId="3" applyFont="1" applyFill="1" applyBorder="1" applyAlignment="1" applyProtection="1">
      <alignment horizontal="center" vertical="center"/>
      <protection hidden="1"/>
    </xf>
    <xf numFmtId="0" fontId="26" fillId="31" borderId="38" xfId="3" applyFont="1" applyFill="1" applyBorder="1" applyAlignment="1" applyProtection="1">
      <alignment horizontal="center" vertical="center"/>
      <protection hidden="1"/>
    </xf>
    <xf numFmtId="0" fontId="26" fillId="31" borderId="39" xfId="3" applyFont="1" applyFill="1" applyBorder="1" applyAlignment="1" applyProtection="1">
      <alignment horizontal="center" vertical="center"/>
      <protection hidden="1"/>
    </xf>
    <xf numFmtId="0" fontId="26" fillId="31" borderId="36" xfId="3" applyFont="1" applyFill="1" applyBorder="1" applyAlignment="1" applyProtection="1">
      <alignment horizontal="center" vertical="center"/>
      <protection hidden="1"/>
    </xf>
    <xf numFmtId="0" fontId="43" fillId="0" borderId="46" xfId="3" applyFont="1" applyBorder="1" applyAlignment="1" applyProtection="1">
      <alignment horizontal="center" vertical="center"/>
      <protection locked="0"/>
    </xf>
    <xf numFmtId="0" fontId="40" fillId="0" borderId="40" xfId="3" applyFont="1" applyBorder="1" applyAlignment="1" applyProtection="1">
      <alignment horizontal="center" vertical="center"/>
      <protection locked="0"/>
    </xf>
    <xf numFmtId="0" fontId="40" fillId="0" borderId="45" xfId="3" applyFont="1" applyBorder="1" applyAlignment="1" applyProtection="1">
      <alignment horizontal="center" vertical="center"/>
      <protection locked="0"/>
    </xf>
    <xf numFmtId="0" fontId="40" fillId="0" borderId="43" xfId="3" applyFont="1" applyBorder="1" applyAlignment="1" applyProtection="1">
      <alignment horizontal="center" vertical="center"/>
      <protection locked="0"/>
    </xf>
    <xf numFmtId="0" fontId="40" fillId="0" borderId="34" xfId="3" applyFont="1" applyBorder="1" applyAlignment="1" applyProtection="1">
      <alignment horizontal="center" vertical="center"/>
      <protection locked="0"/>
    </xf>
    <xf numFmtId="0" fontId="40" fillId="0" borderId="42" xfId="3" applyFont="1" applyBorder="1" applyAlignment="1" applyProtection="1">
      <alignment horizontal="center" vertical="center"/>
      <protection locked="0"/>
    </xf>
    <xf numFmtId="0" fontId="30" fillId="0" borderId="38" xfId="3" applyFont="1" applyBorder="1" applyAlignment="1" applyProtection="1">
      <alignment horizontal="center"/>
      <protection hidden="1"/>
    </xf>
    <xf numFmtId="0" fontId="30" fillId="0" borderId="36" xfId="3" applyFont="1" applyBorder="1" applyAlignment="1" applyProtection="1">
      <alignment horizontal="center"/>
      <protection hidden="1"/>
    </xf>
    <xf numFmtId="0" fontId="30" fillId="0" borderId="39" xfId="3" applyFont="1" applyBorder="1" applyAlignment="1" applyProtection="1">
      <alignment horizontal="center"/>
      <protection hidden="1"/>
    </xf>
    <xf numFmtId="0" fontId="33" fillId="4" borderId="45" xfId="3" applyFont="1" applyFill="1" applyBorder="1" applyAlignment="1" applyProtection="1">
      <alignment horizontal="center" vertical="center" wrapText="1"/>
      <protection hidden="1"/>
    </xf>
    <xf numFmtId="0" fontId="33" fillId="4" borderId="42" xfId="3" applyFont="1" applyFill="1" applyBorder="1" applyAlignment="1" applyProtection="1">
      <alignment horizontal="center" vertical="center" wrapText="1"/>
      <protection hidden="1"/>
    </xf>
    <xf numFmtId="0" fontId="33" fillId="4" borderId="46" xfId="3" applyFont="1" applyFill="1" applyBorder="1" applyAlignment="1" applyProtection="1">
      <alignment horizontal="center" textRotation="90" wrapText="1"/>
      <protection hidden="1"/>
    </xf>
    <xf numFmtId="0" fontId="33" fillId="4" borderId="45" xfId="3" applyFont="1" applyFill="1" applyBorder="1" applyAlignment="1" applyProtection="1">
      <alignment horizontal="center" textRotation="90" wrapText="1"/>
      <protection hidden="1"/>
    </xf>
    <xf numFmtId="0" fontId="33" fillId="4" borderId="44" xfId="3" applyFont="1" applyFill="1" applyBorder="1" applyAlignment="1" applyProtection="1">
      <alignment horizontal="center" textRotation="90" wrapText="1"/>
      <protection hidden="1"/>
    </xf>
    <xf numFmtId="0" fontId="33" fillId="4" borderId="47" xfId="3" applyFont="1" applyFill="1" applyBorder="1" applyAlignment="1" applyProtection="1">
      <alignment horizontal="center" textRotation="90" wrapText="1"/>
      <protection hidden="1"/>
    </xf>
    <xf numFmtId="0" fontId="33" fillId="4" borderId="43" xfId="3" applyFont="1" applyFill="1" applyBorder="1" applyAlignment="1" applyProtection="1">
      <alignment horizontal="center" textRotation="90" wrapText="1"/>
      <protection hidden="1"/>
    </xf>
    <xf numFmtId="0" fontId="33" fillId="4" borderId="42" xfId="3" applyFont="1" applyFill="1" applyBorder="1" applyAlignment="1" applyProtection="1">
      <alignment horizontal="center" textRotation="90" wrapText="1"/>
      <protection hidden="1"/>
    </xf>
    <xf numFmtId="0" fontId="33" fillId="4" borderId="46" xfId="3" applyFont="1" applyFill="1" applyBorder="1" applyAlignment="1" applyProtection="1">
      <alignment horizontal="center" vertical="center" textRotation="90" wrapText="1"/>
      <protection hidden="1"/>
    </xf>
    <xf numFmtId="0" fontId="33" fillId="4" borderId="45" xfId="3" applyFont="1" applyFill="1" applyBorder="1" applyAlignment="1" applyProtection="1">
      <alignment horizontal="center" vertical="center" textRotation="90" wrapText="1"/>
      <protection hidden="1"/>
    </xf>
    <xf numFmtId="0" fontId="33" fillId="4" borderId="44" xfId="3" applyFont="1" applyFill="1" applyBorder="1" applyAlignment="1" applyProtection="1">
      <alignment horizontal="center" vertical="center" textRotation="90" wrapText="1"/>
      <protection hidden="1"/>
    </xf>
    <xf numFmtId="0" fontId="33" fillId="4" borderId="47" xfId="3" applyFont="1" applyFill="1" applyBorder="1" applyAlignment="1" applyProtection="1">
      <alignment horizontal="center" vertical="center" textRotation="90" wrapText="1"/>
      <protection hidden="1"/>
    </xf>
    <xf numFmtId="0" fontId="33" fillId="4" borderId="43" xfId="3" applyFont="1" applyFill="1" applyBorder="1" applyAlignment="1" applyProtection="1">
      <alignment horizontal="center" vertical="center" textRotation="90" wrapText="1"/>
      <protection hidden="1"/>
    </xf>
    <xf numFmtId="0" fontId="33" fillId="4" borderId="42" xfId="3" applyFont="1" applyFill="1" applyBorder="1" applyAlignment="1" applyProtection="1">
      <alignment horizontal="center" vertical="center" textRotation="90" wrapText="1"/>
      <protection hidden="1"/>
    </xf>
    <xf numFmtId="0" fontId="33" fillId="4" borderId="40" xfId="3" applyFont="1" applyFill="1" applyBorder="1" applyAlignment="1" applyProtection="1">
      <alignment horizontal="center" vertical="center" textRotation="90" wrapText="1"/>
      <protection hidden="1"/>
    </xf>
    <xf numFmtId="0" fontId="33" fillId="4" borderId="0" xfId="3" applyFont="1" applyFill="1" applyAlignment="1" applyProtection="1">
      <alignment horizontal="center" vertical="center" textRotation="90" wrapText="1"/>
      <protection hidden="1"/>
    </xf>
    <xf numFmtId="0" fontId="33" fillId="4" borderId="34" xfId="3" applyFont="1" applyFill="1" applyBorder="1" applyAlignment="1" applyProtection="1">
      <alignment horizontal="center" vertical="center" textRotation="90" wrapText="1"/>
      <protection hidden="1"/>
    </xf>
    <xf numFmtId="0" fontId="33" fillId="4" borderId="35" xfId="3" applyFont="1" applyFill="1" applyBorder="1" applyAlignment="1" applyProtection="1">
      <alignment horizontal="center" vertical="center" textRotation="90"/>
      <protection hidden="1"/>
    </xf>
    <xf numFmtId="0" fontId="33" fillId="4" borderId="41" xfId="3" applyFont="1" applyFill="1" applyBorder="1" applyAlignment="1" applyProtection="1">
      <alignment horizontal="center" vertical="center" textRotation="90"/>
      <protection hidden="1"/>
    </xf>
    <xf numFmtId="0" fontId="33" fillId="4" borderId="37" xfId="3" applyFont="1" applyFill="1" applyBorder="1" applyAlignment="1" applyProtection="1">
      <alignment horizontal="center" vertical="center" textRotation="90"/>
      <protection hidden="1"/>
    </xf>
    <xf numFmtId="0" fontId="30" fillId="0" borderId="70" xfId="3" applyFont="1" applyBorder="1" applyAlignment="1" applyProtection="1">
      <alignment horizontal="center"/>
      <protection locked="0"/>
    </xf>
    <xf numFmtId="20" fontId="30" fillId="0" borderId="38" xfId="3" applyNumberFormat="1" applyFont="1" applyBorder="1" applyAlignment="1" applyProtection="1">
      <alignment horizontal="center"/>
      <protection locked="0"/>
    </xf>
    <xf numFmtId="0" fontId="30" fillId="0" borderId="64" xfId="3" applyFont="1" applyBorder="1" applyAlignment="1" applyProtection="1">
      <alignment horizontal="center"/>
      <protection locked="0"/>
    </xf>
    <xf numFmtId="0" fontId="30" fillId="0" borderId="68" xfId="3" applyFont="1" applyBorder="1" applyAlignment="1" applyProtection="1">
      <alignment horizontal="center"/>
      <protection locked="0"/>
    </xf>
    <xf numFmtId="0" fontId="30" fillId="0" borderId="59" xfId="3" applyFont="1" applyBorder="1" applyAlignment="1" applyProtection="1">
      <alignment horizontal="center" wrapText="1"/>
      <protection locked="0"/>
    </xf>
    <xf numFmtId="0" fontId="30" fillId="0" borderId="0" xfId="3" applyFont="1" applyAlignment="1" applyProtection="1">
      <alignment horizontal="center" wrapText="1"/>
      <protection locked="0"/>
    </xf>
    <xf numFmtId="0" fontId="30" fillId="0" borderId="47" xfId="3" applyFont="1" applyBorder="1" applyAlignment="1" applyProtection="1">
      <alignment horizontal="center" wrapText="1"/>
      <protection locked="0"/>
    </xf>
    <xf numFmtId="0" fontId="30" fillId="0" borderId="50" xfId="3" applyFont="1" applyBorder="1" applyAlignment="1" applyProtection="1">
      <alignment horizontal="center" wrapText="1"/>
      <protection locked="0"/>
    </xf>
    <xf numFmtId="0" fontId="30" fillId="0" borderId="49" xfId="3" applyFont="1" applyBorder="1" applyAlignment="1" applyProtection="1">
      <alignment horizontal="center" wrapText="1"/>
      <protection locked="0"/>
    </xf>
    <xf numFmtId="0" fontId="30" fillId="0" borderId="77" xfId="3" applyFont="1" applyBorder="1" applyAlignment="1" applyProtection="1">
      <alignment horizontal="center" wrapText="1"/>
      <protection locked="0"/>
    </xf>
    <xf numFmtId="173" fontId="30" fillId="31" borderId="72" xfId="4" applyNumberFormat="1" applyFont="1" applyFill="1" applyBorder="1" applyAlignment="1" applyProtection="1">
      <alignment horizontal="center"/>
      <protection hidden="1"/>
    </xf>
    <xf numFmtId="173" fontId="30" fillId="31" borderId="34" xfId="4" applyNumberFormat="1" applyFont="1" applyFill="1" applyBorder="1" applyAlignment="1" applyProtection="1">
      <alignment horizontal="center"/>
      <protection hidden="1"/>
    </xf>
    <xf numFmtId="173" fontId="30" fillId="31" borderId="66" xfId="4" applyNumberFormat="1" applyFont="1" applyFill="1" applyBorder="1" applyAlignment="1" applyProtection="1">
      <alignment horizontal="center"/>
      <protection hidden="1"/>
    </xf>
    <xf numFmtId="172" fontId="30" fillId="31" borderId="71" xfId="4" applyNumberFormat="1" applyFont="1" applyFill="1" applyBorder="1" applyAlignment="1" applyProtection="1">
      <alignment horizontal="center"/>
      <protection hidden="1"/>
    </xf>
    <xf numFmtId="172" fontId="30" fillId="31" borderId="39" xfId="4" applyNumberFormat="1" applyFont="1" applyFill="1" applyBorder="1" applyAlignment="1" applyProtection="1">
      <alignment horizontal="center"/>
      <protection hidden="1"/>
    </xf>
    <xf numFmtId="172" fontId="30" fillId="31" borderId="70" xfId="4" applyNumberFormat="1" applyFont="1" applyFill="1" applyBorder="1" applyAlignment="1" applyProtection="1">
      <alignment horizontal="center"/>
      <protection hidden="1"/>
    </xf>
    <xf numFmtId="172" fontId="30" fillId="31" borderId="69" xfId="4" applyNumberFormat="1" applyFont="1" applyFill="1" applyBorder="1" applyAlignment="1" applyProtection="1">
      <alignment horizontal="center"/>
      <protection hidden="1"/>
    </xf>
    <xf numFmtId="172" fontId="30" fillId="31" borderId="64" xfId="4" applyNumberFormat="1" applyFont="1" applyFill="1" applyBorder="1" applyAlignment="1" applyProtection="1">
      <alignment horizontal="center"/>
      <protection hidden="1"/>
    </xf>
    <xf numFmtId="172" fontId="30" fillId="31" borderId="68" xfId="4" applyNumberFormat="1" applyFont="1" applyFill="1" applyBorder="1" applyAlignment="1" applyProtection="1">
      <alignment horizontal="center"/>
      <protection hidden="1"/>
    </xf>
    <xf numFmtId="0" fontId="30" fillId="0" borderId="62" xfId="3" applyFont="1" applyBorder="1" applyAlignment="1" applyProtection="1">
      <alignment horizontal="center" wrapText="1"/>
      <protection locked="0"/>
    </xf>
    <xf numFmtId="0" fontId="30" fillId="0" borderId="40" xfId="3" applyFont="1" applyBorder="1" applyAlignment="1" applyProtection="1">
      <alignment horizontal="center" wrapText="1"/>
      <protection locked="0"/>
    </xf>
    <xf numFmtId="0" fontId="30" fillId="0" borderId="45" xfId="3" applyFont="1" applyBorder="1" applyAlignment="1" applyProtection="1">
      <alignment horizontal="center" wrapText="1"/>
      <protection locked="0"/>
    </xf>
    <xf numFmtId="0" fontId="30" fillId="0" borderId="0" xfId="3" applyFont="1" applyAlignment="1" applyProtection="1">
      <alignment horizontal="center"/>
      <protection hidden="1"/>
    </xf>
    <xf numFmtId="0" fontId="30" fillId="0" borderId="47" xfId="3" applyFont="1" applyBorder="1" applyAlignment="1" applyProtection="1">
      <alignment horizontal="center"/>
      <protection hidden="1"/>
    </xf>
    <xf numFmtId="0" fontId="33" fillId="4" borderId="46" xfId="3" applyFont="1" applyFill="1" applyBorder="1" applyAlignment="1" applyProtection="1">
      <alignment horizontal="center" vertical="center"/>
      <protection hidden="1"/>
    </xf>
    <xf numFmtId="0" fontId="33" fillId="4" borderId="45" xfId="3" applyFont="1" applyFill="1" applyBorder="1" applyAlignment="1" applyProtection="1">
      <alignment horizontal="center" vertical="center"/>
      <protection hidden="1"/>
    </xf>
    <xf numFmtId="0" fontId="33" fillId="4" borderId="43" xfId="3" applyFont="1" applyFill="1" applyBorder="1" applyAlignment="1" applyProtection="1">
      <alignment horizontal="center" vertical="center"/>
      <protection hidden="1"/>
    </xf>
    <xf numFmtId="0" fontId="33" fillId="4" borderId="42" xfId="3" applyFont="1" applyFill="1" applyBorder="1" applyAlignment="1" applyProtection="1">
      <alignment horizontal="center" vertical="center"/>
      <protection hidden="1"/>
    </xf>
    <xf numFmtId="0" fontId="5" fillId="13" borderId="19" xfId="0" applyFont="1" applyFill="1" applyBorder="1" applyAlignment="1" applyProtection="1">
      <alignment horizontal="center" vertical="center"/>
      <protection locked="0" hidden="1"/>
    </xf>
    <xf numFmtId="0" fontId="5" fillId="13" borderId="17" xfId="0" applyFont="1" applyFill="1" applyBorder="1" applyAlignment="1" applyProtection="1">
      <alignment horizontal="center" vertical="center"/>
      <protection locked="0" hidden="1"/>
    </xf>
    <xf numFmtId="0" fontId="5" fillId="13" borderId="20" xfId="0" applyFont="1" applyFill="1" applyBorder="1" applyAlignment="1" applyProtection="1">
      <alignment horizontal="center" vertical="center"/>
      <protection locked="0" hidden="1"/>
    </xf>
    <xf numFmtId="0" fontId="5" fillId="13" borderId="21" xfId="0" applyFont="1" applyFill="1" applyBorder="1" applyAlignment="1" applyProtection="1">
      <alignment horizontal="center" vertical="center"/>
      <protection locked="0" hidden="1"/>
    </xf>
    <xf numFmtId="0" fontId="5" fillId="13" borderId="0" xfId="0" applyFont="1" applyFill="1" applyAlignment="1" applyProtection="1">
      <alignment horizontal="center" vertical="center"/>
      <protection locked="0" hidden="1"/>
    </xf>
    <xf numFmtId="0" fontId="5" fillId="13" borderId="22" xfId="0" applyFont="1" applyFill="1" applyBorder="1" applyAlignment="1" applyProtection="1">
      <alignment horizontal="center" vertical="center"/>
      <protection locked="0" hidden="1"/>
    </xf>
    <xf numFmtId="0" fontId="5" fillId="13" borderId="23" xfId="0" applyFont="1" applyFill="1" applyBorder="1" applyAlignment="1" applyProtection="1">
      <alignment horizontal="center" vertical="center"/>
      <protection locked="0" hidden="1"/>
    </xf>
    <xf numFmtId="0" fontId="5" fillId="13" borderId="18" xfId="0" applyFont="1" applyFill="1" applyBorder="1" applyAlignment="1" applyProtection="1">
      <alignment horizontal="center" vertical="center"/>
      <protection locked="0" hidden="1"/>
    </xf>
    <xf numFmtId="0" fontId="5" fillId="13" borderId="24" xfId="0" applyFont="1" applyFill="1" applyBorder="1" applyAlignment="1" applyProtection="1">
      <alignment horizontal="center" vertical="center"/>
      <protection locked="0" hidden="1"/>
    </xf>
    <xf numFmtId="0" fontId="5" fillId="2" borderId="19" xfId="0" applyFont="1" applyFill="1" applyBorder="1" applyAlignment="1" applyProtection="1">
      <alignment horizontal="center" vertical="center"/>
      <protection locked="0" hidden="1"/>
    </xf>
    <xf numFmtId="0" fontId="5" fillId="2" borderId="17" xfId="0" applyFont="1" applyFill="1" applyBorder="1" applyAlignment="1" applyProtection="1">
      <alignment horizontal="center" vertical="center"/>
      <protection locked="0" hidden="1"/>
    </xf>
    <xf numFmtId="0" fontId="5" fillId="2" borderId="20" xfId="0" applyFont="1" applyFill="1" applyBorder="1" applyAlignment="1" applyProtection="1">
      <alignment horizontal="center" vertical="center"/>
      <protection locked="0" hidden="1"/>
    </xf>
    <xf numFmtId="0" fontId="5" fillId="2" borderId="21" xfId="0" applyFont="1" applyFill="1" applyBorder="1" applyAlignment="1" applyProtection="1">
      <alignment horizontal="center" vertical="center"/>
      <protection locked="0" hidden="1"/>
    </xf>
    <xf numFmtId="0" fontId="5" fillId="2" borderId="0" xfId="0" applyFont="1" applyFill="1" applyAlignment="1" applyProtection="1">
      <alignment horizontal="center" vertical="center"/>
      <protection locked="0" hidden="1"/>
    </xf>
    <xf numFmtId="0" fontId="5" fillId="2" borderId="22" xfId="0" applyFont="1" applyFill="1" applyBorder="1" applyAlignment="1" applyProtection="1">
      <alignment horizontal="center" vertical="center"/>
      <protection locked="0" hidden="1"/>
    </xf>
    <xf numFmtId="0" fontId="5" fillId="2" borderId="23" xfId="0" applyFont="1" applyFill="1" applyBorder="1" applyAlignment="1" applyProtection="1">
      <alignment horizontal="center" vertical="center"/>
      <protection locked="0" hidden="1"/>
    </xf>
    <xf numFmtId="0" fontId="5" fillId="2" borderId="18" xfId="0" applyFont="1" applyFill="1" applyBorder="1" applyAlignment="1" applyProtection="1">
      <alignment horizontal="center" vertical="center"/>
      <protection locked="0" hidden="1"/>
    </xf>
    <xf numFmtId="0" fontId="5" fillId="2" borderId="24" xfId="0" applyFont="1" applyFill="1" applyBorder="1" applyAlignment="1" applyProtection="1">
      <alignment horizontal="center" vertical="center"/>
      <protection locked="0" hidden="1"/>
    </xf>
    <xf numFmtId="0" fontId="5" fillId="7" borderId="19" xfId="0" applyFont="1" applyFill="1" applyBorder="1" applyAlignment="1" applyProtection="1">
      <alignment horizontal="center" vertical="center"/>
      <protection locked="0" hidden="1"/>
    </xf>
    <xf numFmtId="0" fontId="5" fillId="7" borderId="17" xfId="0" applyFont="1" applyFill="1" applyBorder="1" applyAlignment="1" applyProtection="1">
      <alignment horizontal="center" vertical="center"/>
      <protection locked="0" hidden="1"/>
    </xf>
    <xf numFmtId="0" fontId="5" fillId="7" borderId="20" xfId="0" applyFont="1" applyFill="1" applyBorder="1" applyAlignment="1" applyProtection="1">
      <alignment horizontal="center" vertical="center"/>
      <protection locked="0" hidden="1"/>
    </xf>
    <xf numFmtId="0" fontId="5" fillId="7" borderId="21" xfId="0" applyFont="1" applyFill="1" applyBorder="1" applyAlignment="1" applyProtection="1">
      <alignment horizontal="center" vertical="center"/>
      <protection locked="0" hidden="1"/>
    </xf>
    <xf numFmtId="0" fontId="5" fillId="7" borderId="0" xfId="0" applyFont="1" applyFill="1" applyAlignment="1" applyProtection="1">
      <alignment horizontal="center" vertical="center"/>
      <protection locked="0" hidden="1"/>
    </xf>
    <xf numFmtId="0" fontId="5" fillId="7" borderId="22" xfId="0" applyFont="1" applyFill="1" applyBorder="1" applyAlignment="1" applyProtection="1">
      <alignment horizontal="center" vertical="center"/>
      <protection locked="0" hidden="1"/>
    </xf>
    <xf numFmtId="0" fontId="5" fillId="7" borderId="23" xfId="0" applyFont="1" applyFill="1" applyBorder="1" applyAlignment="1" applyProtection="1">
      <alignment horizontal="center" vertical="center"/>
      <protection locked="0" hidden="1"/>
    </xf>
    <xf numFmtId="0" fontId="5" fillId="7" borderId="18" xfId="0" applyFont="1" applyFill="1" applyBorder="1" applyAlignment="1" applyProtection="1">
      <alignment horizontal="center" vertical="center"/>
      <protection locked="0" hidden="1"/>
    </xf>
    <xf numFmtId="0" fontId="5" fillId="7" borderId="24" xfId="0" applyFont="1" applyFill="1" applyBorder="1" applyAlignment="1" applyProtection="1">
      <alignment horizontal="center" vertical="center"/>
      <protection locked="0" hidden="1"/>
    </xf>
    <xf numFmtId="0" fontId="5" fillId="14" borderId="19" xfId="0" applyFont="1" applyFill="1" applyBorder="1" applyAlignment="1" applyProtection="1">
      <alignment horizontal="center" vertical="center"/>
      <protection locked="0" hidden="1"/>
    </xf>
    <xf numFmtId="0" fontId="5" fillId="14" borderId="17" xfId="0" applyFont="1" applyFill="1" applyBorder="1" applyAlignment="1" applyProtection="1">
      <alignment horizontal="center" vertical="center"/>
      <protection locked="0" hidden="1"/>
    </xf>
    <xf numFmtId="0" fontId="5" fillId="14" borderId="20" xfId="0" applyFont="1" applyFill="1" applyBorder="1" applyAlignment="1" applyProtection="1">
      <alignment horizontal="center" vertical="center"/>
      <protection locked="0" hidden="1"/>
    </xf>
    <xf numFmtId="0" fontId="5" fillId="14" borderId="21" xfId="0" applyFont="1" applyFill="1" applyBorder="1" applyAlignment="1" applyProtection="1">
      <alignment horizontal="center" vertical="center"/>
      <protection locked="0" hidden="1"/>
    </xf>
    <xf numFmtId="0" fontId="5" fillId="14" borderId="0" xfId="0" applyFont="1" applyFill="1" applyAlignment="1" applyProtection="1">
      <alignment horizontal="center" vertical="center"/>
      <protection locked="0" hidden="1"/>
    </xf>
    <xf numFmtId="0" fontId="5" fillId="14" borderId="22" xfId="0" applyFont="1" applyFill="1" applyBorder="1" applyAlignment="1" applyProtection="1">
      <alignment horizontal="center" vertical="center"/>
      <protection locked="0" hidden="1"/>
    </xf>
    <xf numFmtId="0" fontId="5" fillId="14" borderId="23" xfId="0" applyFont="1" applyFill="1" applyBorder="1" applyAlignment="1" applyProtection="1">
      <alignment horizontal="center" vertical="center"/>
      <protection locked="0" hidden="1"/>
    </xf>
    <xf numFmtId="0" fontId="5" fillId="14" borderId="18" xfId="0" applyFont="1" applyFill="1" applyBorder="1" applyAlignment="1" applyProtection="1">
      <alignment horizontal="center" vertical="center"/>
      <protection locked="0" hidden="1"/>
    </xf>
    <xf numFmtId="0" fontId="5" fillId="14" borderId="24" xfId="0" applyFont="1" applyFill="1" applyBorder="1" applyAlignment="1" applyProtection="1">
      <alignment horizontal="center" vertical="center"/>
      <protection locked="0" hidden="1"/>
    </xf>
    <xf numFmtId="0" fontId="5" fillId="9" borderId="19" xfId="0" applyFont="1" applyFill="1" applyBorder="1" applyAlignment="1" applyProtection="1">
      <alignment horizontal="center" vertical="center"/>
      <protection locked="0" hidden="1"/>
    </xf>
    <xf numFmtId="0" fontId="5" fillId="9" borderId="17" xfId="0" applyFont="1" applyFill="1" applyBorder="1" applyAlignment="1" applyProtection="1">
      <alignment horizontal="center" vertical="center"/>
      <protection locked="0" hidden="1"/>
    </xf>
    <xf numFmtId="0" fontId="5" fillId="9" borderId="20" xfId="0" applyFont="1" applyFill="1" applyBorder="1" applyAlignment="1" applyProtection="1">
      <alignment horizontal="center" vertical="center"/>
      <protection locked="0" hidden="1"/>
    </xf>
    <xf numFmtId="0" fontId="5" fillId="9" borderId="21" xfId="0" applyFont="1" applyFill="1" applyBorder="1" applyAlignment="1" applyProtection="1">
      <alignment horizontal="center" vertical="center"/>
      <protection locked="0" hidden="1"/>
    </xf>
    <xf numFmtId="0" fontId="5" fillId="9" borderId="0" xfId="0" applyFont="1" applyFill="1" applyAlignment="1" applyProtection="1">
      <alignment horizontal="center" vertical="center"/>
      <protection locked="0" hidden="1"/>
    </xf>
    <xf numFmtId="0" fontId="5" fillId="9" borderId="22" xfId="0" applyFont="1" applyFill="1" applyBorder="1" applyAlignment="1" applyProtection="1">
      <alignment horizontal="center" vertical="center"/>
      <protection locked="0" hidden="1"/>
    </xf>
    <xf numFmtId="0" fontId="5" fillId="9" borderId="23" xfId="0" applyFont="1" applyFill="1" applyBorder="1" applyAlignment="1" applyProtection="1">
      <alignment horizontal="center" vertical="center"/>
      <protection locked="0" hidden="1"/>
    </xf>
    <xf numFmtId="0" fontId="5" fillId="9" borderId="18" xfId="0" applyFont="1" applyFill="1" applyBorder="1" applyAlignment="1" applyProtection="1">
      <alignment horizontal="center" vertical="center"/>
      <protection locked="0" hidden="1"/>
    </xf>
    <xf numFmtId="0" fontId="5" fillId="9" borderId="24" xfId="0" applyFont="1" applyFill="1" applyBorder="1" applyAlignment="1" applyProtection="1">
      <alignment horizontal="center" vertical="center"/>
      <protection locked="0" hidden="1"/>
    </xf>
    <xf numFmtId="0" fontId="5" fillId="8" borderId="19" xfId="0" applyFont="1" applyFill="1" applyBorder="1" applyAlignment="1" applyProtection="1">
      <alignment horizontal="center" vertical="center"/>
      <protection locked="0" hidden="1"/>
    </xf>
    <xf numFmtId="0" fontId="5" fillId="8" borderId="17" xfId="0" applyFont="1" applyFill="1" applyBorder="1" applyAlignment="1" applyProtection="1">
      <alignment horizontal="center" vertical="center"/>
      <protection locked="0" hidden="1"/>
    </xf>
    <xf numFmtId="0" fontId="5" fillId="8" borderId="20" xfId="0" applyFont="1" applyFill="1" applyBorder="1" applyAlignment="1" applyProtection="1">
      <alignment horizontal="center" vertical="center"/>
      <protection locked="0" hidden="1"/>
    </xf>
    <xf numFmtId="0" fontId="5" fillId="8" borderId="21" xfId="0" applyFont="1" applyFill="1" applyBorder="1" applyAlignment="1" applyProtection="1">
      <alignment horizontal="center" vertical="center"/>
      <protection locked="0" hidden="1"/>
    </xf>
    <xf numFmtId="0" fontId="5" fillId="8" borderId="0" xfId="0" applyFont="1" applyFill="1" applyAlignment="1" applyProtection="1">
      <alignment horizontal="center" vertical="center"/>
      <protection locked="0" hidden="1"/>
    </xf>
    <xf numFmtId="0" fontId="5" fillId="8" borderId="22" xfId="0" applyFont="1" applyFill="1" applyBorder="1" applyAlignment="1" applyProtection="1">
      <alignment horizontal="center" vertical="center"/>
      <protection locked="0" hidden="1"/>
    </xf>
    <xf numFmtId="0" fontId="5" fillId="8" borderId="23" xfId="0" applyFont="1" applyFill="1" applyBorder="1" applyAlignment="1" applyProtection="1">
      <alignment horizontal="center" vertical="center"/>
      <protection locked="0" hidden="1"/>
    </xf>
    <xf numFmtId="0" fontId="5" fillId="8" borderId="18" xfId="0" applyFont="1" applyFill="1" applyBorder="1" applyAlignment="1" applyProtection="1">
      <alignment horizontal="center" vertical="center"/>
      <protection locked="0" hidden="1"/>
    </xf>
    <xf numFmtId="0" fontId="5" fillId="8" borderId="24" xfId="0" applyFont="1" applyFill="1" applyBorder="1" applyAlignment="1" applyProtection="1">
      <alignment horizontal="center" vertical="center"/>
      <protection locked="0" hidden="1"/>
    </xf>
    <xf numFmtId="0" fontId="5" fillId="11" borderId="19" xfId="0" applyFont="1" applyFill="1" applyBorder="1" applyAlignment="1" applyProtection="1">
      <alignment horizontal="center" vertical="center"/>
      <protection locked="0" hidden="1"/>
    </xf>
    <xf numFmtId="0" fontId="5" fillId="11" borderId="17" xfId="0" applyFont="1" applyFill="1" applyBorder="1" applyAlignment="1" applyProtection="1">
      <alignment horizontal="center" vertical="center"/>
      <protection locked="0" hidden="1"/>
    </xf>
    <xf numFmtId="0" fontId="5" fillId="11" borderId="20" xfId="0" applyFont="1" applyFill="1" applyBorder="1" applyAlignment="1" applyProtection="1">
      <alignment horizontal="center" vertical="center"/>
      <protection locked="0" hidden="1"/>
    </xf>
    <xf numFmtId="0" fontId="5" fillId="11" borderId="21" xfId="0" applyFont="1" applyFill="1" applyBorder="1" applyAlignment="1" applyProtection="1">
      <alignment horizontal="center" vertical="center"/>
      <protection locked="0" hidden="1"/>
    </xf>
    <xf numFmtId="0" fontId="5" fillId="11" borderId="0" xfId="0" applyFont="1" applyFill="1" applyAlignment="1" applyProtection="1">
      <alignment horizontal="center" vertical="center"/>
      <protection locked="0" hidden="1"/>
    </xf>
    <xf numFmtId="0" fontId="5" fillId="11" borderId="22" xfId="0" applyFont="1" applyFill="1" applyBorder="1" applyAlignment="1" applyProtection="1">
      <alignment horizontal="center" vertical="center"/>
      <protection locked="0" hidden="1"/>
    </xf>
    <xf numFmtId="0" fontId="5" fillId="11" borderId="23" xfId="0" applyFont="1" applyFill="1" applyBorder="1" applyAlignment="1" applyProtection="1">
      <alignment horizontal="center" vertical="center"/>
      <protection locked="0" hidden="1"/>
    </xf>
    <xf numFmtId="0" fontId="5" fillId="11" borderId="18" xfId="0" applyFont="1" applyFill="1" applyBorder="1" applyAlignment="1" applyProtection="1">
      <alignment horizontal="center" vertical="center"/>
      <protection locked="0" hidden="1"/>
    </xf>
    <xf numFmtId="0" fontId="5" fillId="11" borderId="24" xfId="0" applyFont="1" applyFill="1" applyBorder="1" applyAlignment="1" applyProtection="1">
      <alignment horizontal="center" vertical="center"/>
      <protection locked="0" hidden="1"/>
    </xf>
    <xf numFmtId="0" fontId="5" fillId="12" borderId="19" xfId="0" applyFont="1" applyFill="1" applyBorder="1" applyAlignment="1" applyProtection="1">
      <alignment horizontal="center" vertical="center"/>
      <protection locked="0" hidden="1"/>
    </xf>
    <xf numFmtId="0" fontId="5" fillId="12" borderId="17" xfId="0" applyFont="1" applyFill="1" applyBorder="1" applyAlignment="1" applyProtection="1">
      <alignment horizontal="center" vertical="center"/>
      <protection locked="0" hidden="1"/>
    </xf>
    <xf numFmtId="0" fontId="5" fillId="12" borderId="20" xfId="0" applyFont="1" applyFill="1" applyBorder="1" applyAlignment="1" applyProtection="1">
      <alignment horizontal="center" vertical="center"/>
      <protection locked="0" hidden="1"/>
    </xf>
    <xf numFmtId="0" fontId="5" fillId="12" borderId="21" xfId="0" applyFont="1" applyFill="1" applyBorder="1" applyAlignment="1" applyProtection="1">
      <alignment horizontal="center" vertical="center"/>
      <protection locked="0" hidden="1"/>
    </xf>
    <xf numFmtId="0" fontId="5" fillId="12" borderId="0" xfId="0" applyFont="1" applyFill="1" applyAlignment="1" applyProtection="1">
      <alignment horizontal="center" vertical="center"/>
      <protection locked="0" hidden="1"/>
    </xf>
    <xf numFmtId="0" fontId="5" fillId="12" borderId="22" xfId="0" applyFont="1" applyFill="1" applyBorder="1" applyAlignment="1" applyProtection="1">
      <alignment horizontal="center" vertical="center"/>
      <protection locked="0" hidden="1"/>
    </xf>
    <xf numFmtId="0" fontId="5" fillId="12" borderId="23" xfId="0" applyFont="1" applyFill="1" applyBorder="1" applyAlignment="1" applyProtection="1">
      <alignment horizontal="center" vertical="center"/>
      <protection locked="0" hidden="1"/>
    </xf>
    <xf numFmtId="0" fontId="5" fillId="12" borderId="18" xfId="0" applyFont="1" applyFill="1" applyBorder="1" applyAlignment="1" applyProtection="1">
      <alignment horizontal="center" vertical="center"/>
      <protection locked="0" hidden="1"/>
    </xf>
    <xf numFmtId="0" fontId="5" fillId="12" borderId="24" xfId="0" applyFont="1" applyFill="1" applyBorder="1" applyAlignment="1" applyProtection="1">
      <alignment horizontal="center" vertical="center"/>
      <protection locked="0" hidden="1"/>
    </xf>
    <xf numFmtId="0" fontId="8" fillId="20" borderId="1" xfId="0" applyFont="1" applyFill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20" borderId="37" xfId="0" applyFont="1" applyFill="1" applyBorder="1" applyAlignment="1">
      <alignment horizontal="left"/>
    </xf>
    <xf numFmtId="0" fontId="11" fillId="19" borderId="1" xfId="0" applyFont="1" applyFill="1" applyBorder="1" applyAlignment="1">
      <alignment horizontal="left" vertical="top" wrapText="1"/>
    </xf>
    <xf numFmtId="0" fontId="11" fillId="19" borderId="1" xfId="0" applyFont="1" applyFill="1" applyBorder="1" applyAlignment="1">
      <alignment horizontal="left" vertical="center" wrapText="1"/>
    </xf>
    <xf numFmtId="0" fontId="11" fillId="19" borderId="38" xfId="0" applyFont="1" applyFill="1" applyBorder="1" applyAlignment="1">
      <alignment horizontal="left"/>
    </xf>
    <xf numFmtId="0" fontId="11" fillId="19" borderId="39" xfId="0" applyFont="1" applyFill="1" applyBorder="1" applyAlignment="1">
      <alignment horizontal="left"/>
    </xf>
    <xf numFmtId="0" fontId="11" fillId="19" borderId="36" xfId="0" applyFont="1" applyFill="1" applyBorder="1" applyAlignment="1">
      <alignment horizontal="left"/>
    </xf>
    <xf numFmtId="0" fontId="11" fillId="19" borderId="1" xfId="0" applyFont="1" applyFill="1" applyBorder="1" applyAlignment="1">
      <alignment horizontal="left" vertical="center"/>
    </xf>
    <xf numFmtId="0" fontId="11" fillId="19" borderId="1" xfId="0" applyFont="1" applyFill="1" applyBorder="1" applyAlignment="1">
      <alignment horizontal="left" wrapText="1"/>
    </xf>
    <xf numFmtId="0" fontId="11" fillId="19" borderId="1" xfId="0" applyFont="1" applyFill="1" applyBorder="1" applyAlignment="1">
      <alignment horizontal="left"/>
    </xf>
    <xf numFmtId="0" fontId="7" fillId="21" borderId="0" xfId="0" applyFont="1" applyFill="1" applyAlignment="1">
      <alignment horizontal="center" vertical="center"/>
    </xf>
    <xf numFmtId="0" fontId="11" fillId="19" borderId="36" xfId="0" applyFont="1" applyFill="1" applyBorder="1" applyAlignment="1">
      <alignment horizontal="left" vertical="center"/>
    </xf>
    <xf numFmtId="49" fontId="20" fillId="8" borderId="1" xfId="0" applyNumberFormat="1" applyFont="1" applyFill="1" applyBorder="1" applyAlignment="1" applyProtection="1">
      <alignment horizontal="center" vertical="center"/>
      <protection locked="0"/>
    </xf>
  </cellXfs>
  <cellStyles count="5">
    <cellStyle name="Millares" xfId="2" builtinId="3"/>
    <cellStyle name="Millares 2" xfId="1"/>
    <cellStyle name="Millares 3" xfId="4"/>
    <cellStyle name="Normal" xfId="0" builtinId="0"/>
    <cellStyle name="Normal 2" xfId="3"/>
  </cellStyles>
  <dxfs count="5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DD"/>
      <color rgb="FFF6ECD0"/>
      <color rgb="FF00CCFF"/>
      <color rgb="FFCCFF00"/>
      <color rgb="FF4FAFFF"/>
      <color rgb="FF194F7F"/>
      <color rgb="FFF6E180"/>
      <color rgb="FFF4DA62"/>
      <color rgb="FFFFDB58"/>
      <color rgb="FFFDD0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hyperlink" Target="#'Guardar TXT'!A1"/><Relationship Id="rId2" Type="http://schemas.openxmlformats.org/officeDocument/2006/relationships/hyperlink" Target="#'3074'!A1"/><Relationship Id="rId1" Type="http://schemas.openxmlformats.org/officeDocument/2006/relationships/hyperlink" Target="#'0006Z'!B6"/><Relationship Id="rId4" Type="http://schemas.openxmlformats.org/officeDocument/2006/relationships/hyperlink" Target="#'Instrucciones de llenado'!A1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A32FCA7-C6F2-4CA7-8F2D-2E00BB7AC2F9}" type="doc">
      <dgm:prSet loTypeId="urn:microsoft.com/office/officeart/2005/8/layout/default" loCatId="list" qsTypeId="urn:microsoft.com/office/officeart/2005/8/quickstyle/simple1" qsCatId="simple" csTypeId="urn:microsoft.com/office/officeart/2005/8/colors/colorful5" csCatId="colorful" phldr="1"/>
      <dgm:spPr>
        <a:scene3d>
          <a:camera prst="obliqueTopLeft"/>
          <a:lightRig rig="threePt" dir="t"/>
        </a:scene3d>
      </dgm:spPr>
      <dgm:t>
        <a:bodyPr/>
        <a:lstStyle/>
        <a:p>
          <a:endParaRPr lang="es-DO"/>
        </a:p>
      </dgm:t>
    </dgm:pt>
    <dgm:pt modelId="{4556964B-EC69-46FB-A641-7DA32E761F23}">
      <dgm:prSet phldrT="[Texto]"/>
      <dgm:spPr>
        <a:sp3d>
          <a:bevelT prst="convex"/>
        </a:sp3d>
      </dgm:spPr>
      <dgm:t>
        <a:bodyPr/>
        <a:lstStyle/>
        <a:p>
          <a:r>
            <a:rPr lang="es-DO" b="1">
              <a:ln/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FORMULARIO SINOPTICA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7E31FE8F-078A-4912-BA4C-601E6D24FC53}" type="parTrans" cxnId="{E53FE0C0-E8AA-4B46-8AC4-C0BAB87B9504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72298194-F9EC-496A-A905-380E607E92C0}" type="sibTrans" cxnId="{E53FE0C0-E8AA-4B46-8AC4-C0BAB87B9504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414471DB-8687-4B3A-971E-392992BB6AA4}">
      <dgm:prSet phldrT="[Texto]"/>
      <dgm:spPr>
        <a:sp3d>
          <a:bevelT prst="convex"/>
        </a:sp3d>
      </dgm:spPr>
      <dgm:t>
        <a:bodyPr/>
        <a:lstStyle/>
        <a:p>
          <a:r>
            <a:rPr lang="es-DO" b="1">
              <a:ln/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CLI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1FB0913A-AC25-497E-A9B9-4060E6CE702F}" type="parTrans" cxnId="{F67307C0-005F-4EA9-B2F4-FFE4FD97F520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42742990-5142-4FEB-A675-6709E9D72B84}" type="sibTrans" cxnId="{F67307C0-005F-4EA9-B2F4-FFE4FD97F520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4442850B-EA45-490B-8190-D45CD4A67955}">
      <dgm:prSet phldrT="[Texto]"/>
      <dgm:spPr>
        <a:sp3d>
          <a:bevelT prst="convex"/>
        </a:sp3d>
      </dgm:spPr>
      <dgm:t>
        <a:bodyPr/>
        <a:lstStyle/>
        <a:p>
          <a:r>
            <a:rPr lang="es-DO" b="1">
              <a:ln/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GUARDAR TXT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27A3EB97-6A83-4060-8925-937BE7752AF2}" type="parTrans" cxnId="{AF9854BE-8980-426C-8294-0E90469D177F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6AB6890E-3963-4213-A66C-39E7B50366E1}" type="sibTrans" cxnId="{AF9854BE-8980-426C-8294-0E90469D177F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449DA360-BECD-452D-A3C1-7E7BA576A56B}">
      <dgm:prSet phldrT="[Texto]"/>
      <dgm:spPr>
        <a:sp3d>
          <a:bevelT prst="convex"/>
        </a:sp3d>
      </dgm:spPr>
      <dgm:t>
        <a:bodyPr/>
        <a:lstStyle/>
        <a:p>
          <a:r>
            <a:rPr lang="es-DO" b="1">
              <a:ln/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INSTRUCCIONES DE LLENADO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5C1DD0BC-328D-46E0-9A99-FECBC4CFA2AB}" type="parTrans" cxnId="{BC2D40B1-CF86-4446-B728-9DF70FAB6124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D2109474-6E49-4EB4-9BA5-ABCA9CD65901}" type="sibTrans" cxnId="{BC2D40B1-CF86-4446-B728-9DF70FAB6124}">
      <dgm:prSet/>
      <dgm:spPr/>
      <dgm:t>
        <a:bodyPr/>
        <a:lstStyle/>
        <a:p>
          <a:endParaRPr lang="es-DO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dgm:t>
    </dgm:pt>
    <dgm:pt modelId="{3A00E524-1BF4-4487-973F-7817BB5B6920}" type="pres">
      <dgm:prSet presAssocID="{DA32FCA7-C6F2-4CA7-8F2D-2E00BB7AC2F9}" presName="diagram" presStyleCnt="0">
        <dgm:presLayoutVars>
          <dgm:dir/>
          <dgm:resizeHandles val="exact"/>
        </dgm:presLayoutVars>
      </dgm:prSet>
      <dgm:spPr/>
      <dgm:t>
        <a:bodyPr/>
        <a:lstStyle/>
        <a:p>
          <a:endParaRPr lang="es-DO"/>
        </a:p>
      </dgm:t>
    </dgm:pt>
    <dgm:pt modelId="{3AD1AF49-300E-48E0-81BA-3CC39AA45097}" type="pres">
      <dgm:prSet presAssocID="{4556964B-EC69-46FB-A641-7DA32E761F23}" presName="node" presStyleLbl="node1" presStyleIdx="0" presStyleCnt="4">
        <dgm:presLayoutVars>
          <dgm:bulletEnabled val="1"/>
        </dgm:presLayoutVars>
      </dgm:prSet>
      <dgm:spPr/>
      <dgm:t>
        <a:bodyPr/>
        <a:lstStyle/>
        <a:p>
          <a:endParaRPr lang="es-DO"/>
        </a:p>
      </dgm:t>
    </dgm:pt>
    <dgm:pt modelId="{49A0EE72-CECF-4723-8CF6-C9444FEB9DFC}" type="pres">
      <dgm:prSet presAssocID="{72298194-F9EC-496A-A905-380E607E92C0}" presName="sibTrans" presStyleCnt="0"/>
      <dgm:spPr>
        <a:sp3d>
          <a:bevelT prst="convex"/>
        </a:sp3d>
      </dgm:spPr>
    </dgm:pt>
    <dgm:pt modelId="{6C941EB8-6EBF-463B-9425-26649A167E80}" type="pres">
      <dgm:prSet presAssocID="{414471DB-8687-4B3A-971E-392992BB6AA4}" presName="node" presStyleLbl="node1" presStyleIdx="1" presStyleCnt="4">
        <dgm:presLayoutVars>
          <dgm:bulletEnabled val="1"/>
        </dgm:presLayoutVars>
      </dgm:prSet>
      <dgm:spPr/>
      <dgm:t>
        <a:bodyPr/>
        <a:lstStyle/>
        <a:p>
          <a:endParaRPr lang="es-DO"/>
        </a:p>
      </dgm:t>
    </dgm:pt>
    <dgm:pt modelId="{98AB4E2F-9F78-4EC7-A6BD-D4664235AFD8}" type="pres">
      <dgm:prSet presAssocID="{42742990-5142-4FEB-A675-6709E9D72B84}" presName="sibTrans" presStyleCnt="0"/>
      <dgm:spPr>
        <a:sp3d>
          <a:bevelT prst="convex"/>
        </a:sp3d>
      </dgm:spPr>
    </dgm:pt>
    <dgm:pt modelId="{FF24C54A-54E1-4217-8DAF-0DB0A474C0B6}" type="pres">
      <dgm:prSet presAssocID="{4442850B-EA45-490B-8190-D45CD4A67955}" presName="node" presStyleLbl="node1" presStyleIdx="2" presStyleCnt="4">
        <dgm:presLayoutVars>
          <dgm:bulletEnabled val="1"/>
        </dgm:presLayoutVars>
      </dgm:prSet>
      <dgm:spPr/>
      <dgm:t>
        <a:bodyPr/>
        <a:lstStyle/>
        <a:p>
          <a:endParaRPr lang="es-DO"/>
        </a:p>
      </dgm:t>
    </dgm:pt>
    <dgm:pt modelId="{D4D99494-6E8C-4412-997E-BB6694120EE3}" type="pres">
      <dgm:prSet presAssocID="{6AB6890E-3963-4213-A66C-39E7B50366E1}" presName="sibTrans" presStyleCnt="0"/>
      <dgm:spPr>
        <a:sp3d>
          <a:bevelT prst="convex"/>
        </a:sp3d>
      </dgm:spPr>
    </dgm:pt>
    <dgm:pt modelId="{56B9C1FA-E4E7-4D74-8D31-0A682ED4CB72}" type="pres">
      <dgm:prSet presAssocID="{449DA360-BECD-452D-A3C1-7E7BA576A56B}" presName="node" presStyleLbl="node1" presStyleIdx="3" presStyleCnt="4">
        <dgm:presLayoutVars>
          <dgm:bulletEnabled val="1"/>
        </dgm:presLayoutVars>
      </dgm:prSet>
      <dgm:spPr/>
      <dgm:t>
        <a:bodyPr/>
        <a:lstStyle/>
        <a:p>
          <a:endParaRPr lang="es-DO"/>
        </a:p>
      </dgm:t>
    </dgm:pt>
  </dgm:ptLst>
  <dgm:cxnLst>
    <dgm:cxn modelId="{F67307C0-005F-4EA9-B2F4-FFE4FD97F520}" srcId="{DA32FCA7-C6F2-4CA7-8F2D-2E00BB7AC2F9}" destId="{414471DB-8687-4B3A-971E-392992BB6AA4}" srcOrd="1" destOrd="0" parTransId="{1FB0913A-AC25-497E-A9B9-4060E6CE702F}" sibTransId="{42742990-5142-4FEB-A675-6709E9D72B84}"/>
    <dgm:cxn modelId="{AF9854BE-8980-426C-8294-0E90469D177F}" srcId="{DA32FCA7-C6F2-4CA7-8F2D-2E00BB7AC2F9}" destId="{4442850B-EA45-490B-8190-D45CD4A67955}" srcOrd="2" destOrd="0" parTransId="{27A3EB97-6A83-4060-8925-937BE7752AF2}" sibTransId="{6AB6890E-3963-4213-A66C-39E7B50366E1}"/>
    <dgm:cxn modelId="{E53FE0C0-E8AA-4B46-8AC4-C0BAB87B9504}" srcId="{DA32FCA7-C6F2-4CA7-8F2D-2E00BB7AC2F9}" destId="{4556964B-EC69-46FB-A641-7DA32E761F23}" srcOrd="0" destOrd="0" parTransId="{7E31FE8F-078A-4912-BA4C-601E6D24FC53}" sibTransId="{72298194-F9EC-496A-A905-380E607E92C0}"/>
    <dgm:cxn modelId="{BC2D40B1-CF86-4446-B728-9DF70FAB6124}" srcId="{DA32FCA7-C6F2-4CA7-8F2D-2E00BB7AC2F9}" destId="{449DA360-BECD-452D-A3C1-7E7BA576A56B}" srcOrd="3" destOrd="0" parTransId="{5C1DD0BC-328D-46E0-9A99-FECBC4CFA2AB}" sibTransId="{D2109474-6E49-4EB4-9BA5-ABCA9CD65901}"/>
    <dgm:cxn modelId="{45932037-6FCB-477E-A471-9926F416B295}" type="presOf" srcId="{DA32FCA7-C6F2-4CA7-8F2D-2E00BB7AC2F9}" destId="{3A00E524-1BF4-4487-973F-7817BB5B6920}" srcOrd="0" destOrd="0" presId="urn:microsoft.com/office/officeart/2005/8/layout/default"/>
    <dgm:cxn modelId="{6B431942-5123-425A-A887-C16D360ADA08}" type="presOf" srcId="{414471DB-8687-4B3A-971E-392992BB6AA4}" destId="{6C941EB8-6EBF-463B-9425-26649A167E80}" srcOrd="0" destOrd="0" presId="urn:microsoft.com/office/officeart/2005/8/layout/default"/>
    <dgm:cxn modelId="{0D2DA218-5785-4BCA-AA04-2904860B39F2}" type="presOf" srcId="{449DA360-BECD-452D-A3C1-7E7BA576A56B}" destId="{56B9C1FA-E4E7-4D74-8D31-0A682ED4CB72}" srcOrd="0" destOrd="0" presId="urn:microsoft.com/office/officeart/2005/8/layout/default"/>
    <dgm:cxn modelId="{D88AEBB2-D59E-481B-9400-E3EC96DF7E41}" type="presOf" srcId="{4556964B-EC69-46FB-A641-7DA32E761F23}" destId="{3AD1AF49-300E-48E0-81BA-3CC39AA45097}" srcOrd="0" destOrd="0" presId="urn:microsoft.com/office/officeart/2005/8/layout/default"/>
    <dgm:cxn modelId="{A4493CE8-88A2-40B5-8EE7-3490D8717FC3}" type="presOf" srcId="{4442850B-EA45-490B-8190-D45CD4A67955}" destId="{FF24C54A-54E1-4217-8DAF-0DB0A474C0B6}" srcOrd="0" destOrd="0" presId="urn:microsoft.com/office/officeart/2005/8/layout/default"/>
    <dgm:cxn modelId="{3614093F-05B3-4FAF-9C0F-E4ED2237EB65}" type="presParOf" srcId="{3A00E524-1BF4-4487-973F-7817BB5B6920}" destId="{3AD1AF49-300E-48E0-81BA-3CC39AA45097}" srcOrd="0" destOrd="0" presId="urn:microsoft.com/office/officeart/2005/8/layout/default"/>
    <dgm:cxn modelId="{26BDA857-0B4F-41C4-B021-FFF52FFB0DD8}" type="presParOf" srcId="{3A00E524-1BF4-4487-973F-7817BB5B6920}" destId="{49A0EE72-CECF-4723-8CF6-C9444FEB9DFC}" srcOrd="1" destOrd="0" presId="urn:microsoft.com/office/officeart/2005/8/layout/default"/>
    <dgm:cxn modelId="{E010F747-D8C5-4FAE-9F04-1AFC189BED19}" type="presParOf" srcId="{3A00E524-1BF4-4487-973F-7817BB5B6920}" destId="{6C941EB8-6EBF-463B-9425-26649A167E80}" srcOrd="2" destOrd="0" presId="urn:microsoft.com/office/officeart/2005/8/layout/default"/>
    <dgm:cxn modelId="{ECB6FA35-DA2C-4D29-894D-3502638D0FB6}" type="presParOf" srcId="{3A00E524-1BF4-4487-973F-7817BB5B6920}" destId="{98AB4E2F-9F78-4EC7-A6BD-D4664235AFD8}" srcOrd="3" destOrd="0" presId="urn:microsoft.com/office/officeart/2005/8/layout/default"/>
    <dgm:cxn modelId="{E7ED3517-DF1F-4D59-9DB1-C60B3F3DA517}" type="presParOf" srcId="{3A00E524-1BF4-4487-973F-7817BB5B6920}" destId="{FF24C54A-54E1-4217-8DAF-0DB0A474C0B6}" srcOrd="4" destOrd="0" presId="urn:microsoft.com/office/officeart/2005/8/layout/default"/>
    <dgm:cxn modelId="{5F50ED82-A929-4F11-B339-EF9575756E42}" type="presParOf" srcId="{3A00E524-1BF4-4487-973F-7817BB5B6920}" destId="{D4D99494-6E8C-4412-997E-BB6694120EE3}" srcOrd="5" destOrd="0" presId="urn:microsoft.com/office/officeart/2005/8/layout/default"/>
    <dgm:cxn modelId="{BEC69C80-071B-4F9E-B4BF-A6894CAEE45D}" type="presParOf" srcId="{3A00E524-1BF4-4487-973F-7817BB5B6920}" destId="{56B9C1FA-E4E7-4D74-8D31-0A682ED4CB72}" srcOrd="6" destOrd="0" presId="urn:microsoft.com/office/officeart/2005/8/layout/default"/>
  </dgm:cxnLst>
  <dgm:bg>
    <a:solidFill>
      <a:schemeClr val="accent1"/>
    </a:solidFill>
    <a:effectLst>
      <a:glow rad="228600">
        <a:schemeClr val="accent3">
          <a:satMod val="175000"/>
          <a:alpha val="40000"/>
        </a:schemeClr>
      </a:glow>
      <a:innerShdw blurRad="63500" dist="50800" dir="18900000">
        <a:prstClr val="black">
          <a:alpha val="50000"/>
        </a:prstClr>
      </a:innerShdw>
    </a:effectLst>
  </dgm:bg>
  <dgm:whole>
    <a:ln w="57150">
      <a:solidFill>
        <a:schemeClr val="tx2"/>
      </a:solidFill>
    </a:ln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default">
  <dgm:title val=""/>
  <dgm:desc val=""/>
  <dgm:catLst>
    <dgm:cat type="list" pri="4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  <dgm:cxn modelId="10" srcId="0" destId="5" srcOrd="4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diagram">
    <dgm:varLst>
      <dgm:dir/>
      <dgm:resizeHandles val="exact"/>
    </dgm:varLst>
    <dgm:choose name="Name0">
      <dgm:if name="Name1" func="var" arg="dir" op="equ" val="norm">
        <dgm:alg type="snake">
          <dgm:param type="grDir" val="tL"/>
          <dgm:param type="flowDir" val="row"/>
          <dgm:param type="contDir" val="sameDir"/>
          <dgm:param type="off" val="ctr"/>
        </dgm:alg>
      </dgm:if>
      <dgm:else name="Name2">
        <dgm:alg type="snake">
          <dgm:param type="grDir" val="tR"/>
          <dgm:param type="flowDir" val="row"/>
          <dgm:param type="contDir" val="sameDir"/>
          <dgm:param type="off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node" refType="w"/>
      <dgm:constr type="h" for="ch" forName="node" refType="w" refFor="ch" refForName="node" fact="0.6"/>
      <dgm:constr type="w" for="ch" forName="sibTrans" refType="w" refFor="ch" refForName="node" fact="0.1"/>
      <dgm:constr type="sp" refType="w" refFor="ch" refForName="sibTrans"/>
      <dgm:constr type="primFontSz" for="ch" forName="node" op="equ" val="65"/>
    </dgm:constrLst>
    <dgm:ruleLst/>
    <dgm:forEach name="Name3" axis="ch" ptType="node">
      <dgm:layoutNode name="node">
        <dgm:varLst>
          <dgm:bulletEnabled val="1"/>
        </dgm:varLst>
        <dgm:alg type="tx"/>
        <dgm:shape xmlns:r="http://schemas.openxmlformats.org/officeDocument/2006/relationships" type="rect" r:blip="">
          <dgm:adjLst/>
        </dgm:shape>
        <dgm:presOf axis="desOrSelf" ptType="node"/>
        <dgm:constrLst>
          <dgm:constr type="lMarg" refType="primFontSz" fact="0.3"/>
          <dgm:constr type="rMarg" refType="primFontSz" fact="0.3"/>
          <dgm:constr type="tMarg" refType="primFontSz" fact="0.3"/>
          <dgm:constr type="bMarg" refType="primFontSz" fact="0.3"/>
        </dgm:constrLst>
        <dgm:ruleLst>
          <dgm:rule type="primFontSz" val="5" fact="NaN" max="NaN"/>
        </dgm:ruleLst>
      </dgm:layoutNode>
      <dgm:forEach name="Name4" axis="followSib" ptType="sibTrans" cnt="1">
        <dgm:layoutNode name="sibTran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hyperlink" Target="#'Guardar TXT'!A1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.emf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0006Z'!B6"/><Relationship Id="rId13" Type="http://schemas.openxmlformats.org/officeDocument/2006/relationships/hyperlink" Target="#'3074'!A1"/><Relationship Id="rId3" Type="http://schemas.openxmlformats.org/officeDocument/2006/relationships/hyperlink" Target="#'1500Z'!B6"/><Relationship Id="rId7" Type="http://schemas.openxmlformats.org/officeDocument/2006/relationships/hyperlink" Target="#'0003Z'!B6"/><Relationship Id="rId12" Type="http://schemas.openxmlformats.org/officeDocument/2006/relationships/hyperlink" Target="#'4074'!A1"/><Relationship Id="rId2" Type="http://schemas.openxmlformats.org/officeDocument/2006/relationships/hyperlink" Target="#'1200Z'!B6"/><Relationship Id="rId1" Type="http://schemas.openxmlformats.org/officeDocument/2006/relationships/hyperlink" Target="#MENU!A1"/><Relationship Id="rId6" Type="http://schemas.openxmlformats.org/officeDocument/2006/relationships/hyperlink" Target="#'0000Z'!B6"/><Relationship Id="rId11" Type="http://schemas.openxmlformats.org/officeDocument/2006/relationships/hyperlink" Target="#'5074'!A1"/><Relationship Id="rId5" Type="http://schemas.openxmlformats.org/officeDocument/2006/relationships/hyperlink" Target="#'2100Z'!B6"/><Relationship Id="rId10" Type="http://schemas.openxmlformats.org/officeDocument/2006/relationships/image" Target="../media/image1.emf"/><Relationship Id="rId4" Type="http://schemas.openxmlformats.org/officeDocument/2006/relationships/hyperlink" Target="#'1800Z'!B6"/><Relationship Id="rId9" Type="http://schemas.openxmlformats.org/officeDocument/2006/relationships/hyperlink" Target="#'0009Z'!B6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0003Z'!B6"/><Relationship Id="rId13" Type="http://schemas.openxmlformats.org/officeDocument/2006/relationships/hyperlink" Target="#'3074'!A1"/><Relationship Id="rId3" Type="http://schemas.openxmlformats.org/officeDocument/2006/relationships/hyperlink" Target="#'1200Z'!B6"/><Relationship Id="rId7" Type="http://schemas.openxmlformats.org/officeDocument/2006/relationships/hyperlink" Target="#'0000Z'!B6"/><Relationship Id="rId12" Type="http://schemas.openxmlformats.org/officeDocument/2006/relationships/hyperlink" Target="#'4074'!A1"/><Relationship Id="rId2" Type="http://schemas.openxmlformats.org/officeDocument/2006/relationships/hyperlink" Target="#MENU!A1"/><Relationship Id="rId1" Type="http://schemas.openxmlformats.org/officeDocument/2006/relationships/image" Target="../media/image1.emf"/><Relationship Id="rId6" Type="http://schemas.openxmlformats.org/officeDocument/2006/relationships/hyperlink" Target="#'2100Z'!B6"/><Relationship Id="rId11" Type="http://schemas.openxmlformats.org/officeDocument/2006/relationships/hyperlink" Target="#'5074'!A1"/><Relationship Id="rId5" Type="http://schemas.openxmlformats.org/officeDocument/2006/relationships/hyperlink" Target="#'1800Z'!B6"/><Relationship Id="rId10" Type="http://schemas.openxmlformats.org/officeDocument/2006/relationships/hyperlink" Target="#'0009Z'!B6"/><Relationship Id="rId4" Type="http://schemas.openxmlformats.org/officeDocument/2006/relationships/hyperlink" Target="#'1500Z'!B6"/><Relationship Id="rId9" Type="http://schemas.openxmlformats.org/officeDocument/2006/relationships/hyperlink" Target="#'0006Z'!B6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hyperlink" Target="#'3074'!A1"/><Relationship Id="rId3" Type="http://schemas.openxmlformats.org/officeDocument/2006/relationships/hyperlink" Target="#'0003Z'!B6"/><Relationship Id="rId7" Type="http://schemas.openxmlformats.org/officeDocument/2006/relationships/hyperlink" Target="#'1500Z'!B6"/><Relationship Id="rId12" Type="http://schemas.openxmlformats.org/officeDocument/2006/relationships/hyperlink" Target="#'4074'!A1"/><Relationship Id="rId2" Type="http://schemas.openxmlformats.org/officeDocument/2006/relationships/hyperlink" Target="#'0006Z'!B6"/><Relationship Id="rId1" Type="http://schemas.openxmlformats.org/officeDocument/2006/relationships/hyperlink" Target="#'0009Z'!B6"/><Relationship Id="rId6" Type="http://schemas.openxmlformats.org/officeDocument/2006/relationships/hyperlink" Target="#'1800Z'!B6"/><Relationship Id="rId11" Type="http://schemas.openxmlformats.org/officeDocument/2006/relationships/hyperlink" Target="#'5074'!A1"/><Relationship Id="rId5" Type="http://schemas.openxmlformats.org/officeDocument/2006/relationships/hyperlink" Target="#'2100Z'!B6"/><Relationship Id="rId10" Type="http://schemas.openxmlformats.org/officeDocument/2006/relationships/hyperlink" Target="#'1200Z'!B6"/><Relationship Id="rId4" Type="http://schemas.openxmlformats.org/officeDocument/2006/relationships/hyperlink" Target="#'0000Z'!B6"/><Relationship Id="rId9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hyperlink" Target="#'3074'!A1"/><Relationship Id="rId3" Type="http://schemas.openxmlformats.org/officeDocument/2006/relationships/hyperlink" Target="#'0003Z'!B6"/><Relationship Id="rId7" Type="http://schemas.openxmlformats.org/officeDocument/2006/relationships/hyperlink" Target="#'1200Z'!B6"/><Relationship Id="rId12" Type="http://schemas.openxmlformats.org/officeDocument/2006/relationships/hyperlink" Target="#'4074'!A1"/><Relationship Id="rId2" Type="http://schemas.openxmlformats.org/officeDocument/2006/relationships/hyperlink" Target="#'0006Z'!B6"/><Relationship Id="rId1" Type="http://schemas.openxmlformats.org/officeDocument/2006/relationships/hyperlink" Target="#'0009Z'!B6"/><Relationship Id="rId6" Type="http://schemas.openxmlformats.org/officeDocument/2006/relationships/hyperlink" Target="#'1800Z'!B6"/><Relationship Id="rId11" Type="http://schemas.openxmlformats.org/officeDocument/2006/relationships/hyperlink" Target="#'5074'!A1"/><Relationship Id="rId5" Type="http://schemas.openxmlformats.org/officeDocument/2006/relationships/hyperlink" Target="#'2100Z'!B6"/><Relationship Id="rId10" Type="http://schemas.openxmlformats.org/officeDocument/2006/relationships/hyperlink" Target="#'1500Z'!B6"/><Relationship Id="rId4" Type="http://schemas.openxmlformats.org/officeDocument/2006/relationships/hyperlink" Target="#'0000Z'!B6"/><Relationship Id="rId9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hyperlink" Target="#'3074'!A1"/><Relationship Id="rId3" Type="http://schemas.openxmlformats.org/officeDocument/2006/relationships/hyperlink" Target="#'0003Z'!B6"/><Relationship Id="rId7" Type="http://schemas.openxmlformats.org/officeDocument/2006/relationships/hyperlink" Target="#'1200Z'!B6"/><Relationship Id="rId12" Type="http://schemas.openxmlformats.org/officeDocument/2006/relationships/hyperlink" Target="#'4074'!A1"/><Relationship Id="rId2" Type="http://schemas.openxmlformats.org/officeDocument/2006/relationships/hyperlink" Target="#'0006Z'!B6"/><Relationship Id="rId1" Type="http://schemas.openxmlformats.org/officeDocument/2006/relationships/hyperlink" Target="#'0009Z'!B6"/><Relationship Id="rId6" Type="http://schemas.openxmlformats.org/officeDocument/2006/relationships/hyperlink" Target="#'1500Z'!B6"/><Relationship Id="rId11" Type="http://schemas.openxmlformats.org/officeDocument/2006/relationships/hyperlink" Target="#'5074'!A1"/><Relationship Id="rId5" Type="http://schemas.openxmlformats.org/officeDocument/2006/relationships/hyperlink" Target="#'2100Z'!B6"/><Relationship Id="rId10" Type="http://schemas.openxmlformats.org/officeDocument/2006/relationships/hyperlink" Target="#'1800Z'!B6"/><Relationship Id="rId4" Type="http://schemas.openxmlformats.org/officeDocument/2006/relationships/hyperlink" Target="#'0000Z'!B6"/><Relationship Id="rId9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13" Type="http://schemas.openxmlformats.org/officeDocument/2006/relationships/hyperlink" Target="#'3074'!A1"/><Relationship Id="rId3" Type="http://schemas.openxmlformats.org/officeDocument/2006/relationships/hyperlink" Target="#'0003Z'!B6"/><Relationship Id="rId7" Type="http://schemas.openxmlformats.org/officeDocument/2006/relationships/hyperlink" Target="#'1200Z'!B6"/><Relationship Id="rId12" Type="http://schemas.openxmlformats.org/officeDocument/2006/relationships/hyperlink" Target="#'4074'!A1"/><Relationship Id="rId2" Type="http://schemas.openxmlformats.org/officeDocument/2006/relationships/hyperlink" Target="#'0006Z'!B6"/><Relationship Id="rId1" Type="http://schemas.openxmlformats.org/officeDocument/2006/relationships/hyperlink" Target="#'0009Z'!B6"/><Relationship Id="rId6" Type="http://schemas.openxmlformats.org/officeDocument/2006/relationships/hyperlink" Target="#'1500Z'!B6"/><Relationship Id="rId11" Type="http://schemas.openxmlformats.org/officeDocument/2006/relationships/hyperlink" Target="#'5074'!A1"/><Relationship Id="rId5" Type="http://schemas.openxmlformats.org/officeDocument/2006/relationships/hyperlink" Target="#'1800Z'!B6"/><Relationship Id="rId10" Type="http://schemas.openxmlformats.org/officeDocument/2006/relationships/hyperlink" Target="#'2100Z'!B6"/><Relationship Id="rId4" Type="http://schemas.openxmlformats.org/officeDocument/2006/relationships/hyperlink" Target="#'0000Z'!B6"/><Relationship Id="rId9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13" Type="http://schemas.openxmlformats.org/officeDocument/2006/relationships/hyperlink" Target="#'3074'!A1"/><Relationship Id="rId3" Type="http://schemas.openxmlformats.org/officeDocument/2006/relationships/hyperlink" Target="#'0003Z'!B6"/><Relationship Id="rId7" Type="http://schemas.openxmlformats.org/officeDocument/2006/relationships/hyperlink" Target="#'1200Z'!B6"/><Relationship Id="rId12" Type="http://schemas.openxmlformats.org/officeDocument/2006/relationships/hyperlink" Target="#'4074'!A1"/><Relationship Id="rId2" Type="http://schemas.openxmlformats.org/officeDocument/2006/relationships/hyperlink" Target="#'0006Z'!B6"/><Relationship Id="rId1" Type="http://schemas.openxmlformats.org/officeDocument/2006/relationships/hyperlink" Target="#'0009Z'!B6"/><Relationship Id="rId6" Type="http://schemas.openxmlformats.org/officeDocument/2006/relationships/hyperlink" Target="#'1500Z'!B6"/><Relationship Id="rId11" Type="http://schemas.openxmlformats.org/officeDocument/2006/relationships/hyperlink" Target="#'5074'!A1"/><Relationship Id="rId5" Type="http://schemas.openxmlformats.org/officeDocument/2006/relationships/hyperlink" Target="#'1800Z'!B6"/><Relationship Id="rId10" Type="http://schemas.openxmlformats.org/officeDocument/2006/relationships/hyperlink" Target="#'0000Z'!B6"/><Relationship Id="rId4" Type="http://schemas.openxmlformats.org/officeDocument/2006/relationships/hyperlink" Target="#'2100Z'!B6"/><Relationship Id="rId9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0003Z'!B6"/><Relationship Id="rId13" Type="http://schemas.openxmlformats.org/officeDocument/2006/relationships/hyperlink" Target="#'3074'!A1"/><Relationship Id="rId3" Type="http://schemas.openxmlformats.org/officeDocument/2006/relationships/hyperlink" Target="#'1200Z'!B6"/><Relationship Id="rId7" Type="http://schemas.openxmlformats.org/officeDocument/2006/relationships/hyperlink" Target="#'0000Z'!B6"/><Relationship Id="rId12" Type="http://schemas.openxmlformats.org/officeDocument/2006/relationships/hyperlink" Target="#'4074'!A1"/><Relationship Id="rId2" Type="http://schemas.openxmlformats.org/officeDocument/2006/relationships/hyperlink" Target="#MENU!A1"/><Relationship Id="rId1" Type="http://schemas.openxmlformats.org/officeDocument/2006/relationships/image" Target="../media/image1.emf"/><Relationship Id="rId6" Type="http://schemas.openxmlformats.org/officeDocument/2006/relationships/hyperlink" Target="#'2100Z'!B6"/><Relationship Id="rId11" Type="http://schemas.openxmlformats.org/officeDocument/2006/relationships/hyperlink" Target="#'5074'!A1"/><Relationship Id="rId5" Type="http://schemas.openxmlformats.org/officeDocument/2006/relationships/hyperlink" Target="#'1800Z'!B6"/><Relationship Id="rId10" Type="http://schemas.openxmlformats.org/officeDocument/2006/relationships/hyperlink" Target="#'0009Z'!B6"/><Relationship Id="rId4" Type="http://schemas.openxmlformats.org/officeDocument/2006/relationships/hyperlink" Target="#'1500Z'!B6"/><Relationship Id="rId9" Type="http://schemas.openxmlformats.org/officeDocument/2006/relationships/hyperlink" Target="#'0006Z'!B6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2100Z'!B6"/><Relationship Id="rId3" Type="http://schemas.openxmlformats.org/officeDocument/2006/relationships/hyperlink" Target="#MENU!A1"/><Relationship Id="rId7" Type="http://schemas.openxmlformats.org/officeDocument/2006/relationships/hyperlink" Target="#'0000Z'!B6"/><Relationship Id="rId2" Type="http://schemas.openxmlformats.org/officeDocument/2006/relationships/hyperlink" Target="#'4074'!T2"/><Relationship Id="rId1" Type="http://schemas.openxmlformats.org/officeDocument/2006/relationships/hyperlink" Target="#'5074'!AE2"/><Relationship Id="rId6" Type="http://schemas.openxmlformats.org/officeDocument/2006/relationships/hyperlink" Target="#'0003Z'!B6"/><Relationship Id="rId11" Type="http://schemas.openxmlformats.org/officeDocument/2006/relationships/hyperlink" Target="#'1500Z'!B6"/><Relationship Id="rId5" Type="http://schemas.openxmlformats.org/officeDocument/2006/relationships/hyperlink" Target="#'0006Z'!B6"/><Relationship Id="rId10" Type="http://schemas.openxmlformats.org/officeDocument/2006/relationships/hyperlink" Target="#'1200Z'!B6"/><Relationship Id="rId4" Type="http://schemas.openxmlformats.org/officeDocument/2006/relationships/hyperlink" Target="#'0009Z'!B6"/><Relationship Id="rId9" Type="http://schemas.openxmlformats.org/officeDocument/2006/relationships/hyperlink" Target="#'1800Z'!B6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1800Z'!B6"/><Relationship Id="rId3" Type="http://schemas.openxmlformats.org/officeDocument/2006/relationships/hyperlink" Target="#'0009Z'!B6"/><Relationship Id="rId7" Type="http://schemas.openxmlformats.org/officeDocument/2006/relationships/hyperlink" Target="#'2100Z'!B6"/><Relationship Id="rId2" Type="http://schemas.openxmlformats.org/officeDocument/2006/relationships/hyperlink" Target="#'3074'!M2"/><Relationship Id="rId1" Type="http://schemas.openxmlformats.org/officeDocument/2006/relationships/hyperlink" Target="#'5074'!AE2"/><Relationship Id="rId6" Type="http://schemas.openxmlformats.org/officeDocument/2006/relationships/hyperlink" Target="#'0000Z'!B6"/><Relationship Id="rId11" Type="http://schemas.openxmlformats.org/officeDocument/2006/relationships/hyperlink" Target="#MENU!A1"/><Relationship Id="rId5" Type="http://schemas.openxmlformats.org/officeDocument/2006/relationships/hyperlink" Target="#'0003Z'!B6"/><Relationship Id="rId10" Type="http://schemas.openxmlformats.org/officeDocument/2006/relationships/hyperlink" Target="#'1500Z'!B6"/><Relationship Id="rId4" Type="http://schemas.openxmlformats.org/officeDocument/2006/relationships/hyperlink" Target="#'0006Z'!B6"/><Relationship Id="rId9" Type="http://schemas.openxmlformats.org/officeDocument/2006/relationships/hyperlink" Target="#'1200Z'!B6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2100Z'!B6"/><Relationship Id="rId3" Type="http://schemas.openxmlformats.org/officeDocument/2006/relationships/hyperlink" Target="#MENU!A1"/><Relationship Id="rId7" Type="http://schemas.openxmlformats.org/officeDocument/2006/relationships/hyperlink" Target="#'0000Z'!B6"/><Relationship Id="rId2" Type="http://schemas.openxmlformats.org/officeDocument/2006/relationships/hyperlink" Target="#'3074'!M2"/><Relationship Id="rId1" Type="http://schemas.openxmlformats.org/officeDocument/2006/relationships/hyperlink" Target="#'4074'!T2"/><Relationship Id="rId6" Type="http://schemas.openxmlformats.org/officeDocument/2006/relationships/hyperlink" Target="#'0003Z'!B6"/><Relationship Id="rId11" Type="http://schemas.openxmlformats.org/officeDocument/2006/relationships/hyperlink" Target="#'1500Z'!B6"/><Relationship Id="rId5" Type="http://schemas.openxmlformats.org/officeDocument/2006/relationships/hyperlink" Target="#'0006Z'!B6"/><Relationship Id="rId10" Type="http://schemas.openxmlformats.org/officeDocument/2006/relationships/hyperlink" Target="#'1200Z'!B6"/><Relationship Id="rId4" Type="http://schemas.openxmlformats.org/officeDocument/2006/relationships/hyperlink" Target="#'0009Z'!B6"/><Relationship Id="rId9" Type="http://schemas.openxmlformats.org/officeDocument/2006/relationships/hyperlink" Target="#'1800Z'!B6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9525</xdr:rowOff>
    </xdr:from>
    <xdr:to>
      <xdr:col>10</xdr:col>
      <xdr:colOff>685800</xdr:colOff>
      <xdr:row>24</xdr:row>
      <xdr:rowOff>85725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4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276225</xdr:colOff>
      <xdr:row>5</xdr:row>
      <xdr:rowOff>142875</xdr:rowOff>
    </xdr:from>
    <xdr:to>
      <xdr:col>8</xdr:col>
      <xdr:colOff>609600</xdr:colOff>
      <xdr:row>10</xdr:row>
      <xdr:rowOff>38100</xdr:rowOff>
    </xdr:to>
    <xdr:grpSp>
      <xdr:nvGrpSpPr>
        <xdr:cNvPr id="4" name="Diagram group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pSpPr/>
      </xdr:nvGrpSpPr>
      <xdr:grpSpPr>
        <a:xfrm>
          <a:off x="2562225" y="1095375"/>
          <a:ext cx="4143375" cy="847725"/>
          <a:chOff x="5228005" y="528"/>
          <a:chExt cx="2299841" cy="1379904"/>
        </a:xfrm>
        <a:solidFill>
          <a:schemeClr val="tx2">
            <a:lumMod val="60000"/>
            <a:lumOff val="40000"/>
          </a:schemeClr>
        </a:solidFill>
        <a:scene3d>
          <a:camera prst="obliqueTopLeft"/>
          <a:lightRig rig="threePt" dir="t"/>
        </a:scene3d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GrpSpPr/>
        </xdr:nvGrpSpPr>
        <xdr:grpSpPr>
          <a:xfrm>
            <a:off x="5228005" y="528"/>
            <a:ext cx="2299841" cy="1379904"/>
            <a:chOff x="5228005" y="528"/>
            <a:chExt cx="2299841" cy="1379904"/>
          </a:xfrm>
          <a:grpFill/>
          <a:scene3d>
            <a:camera prst="obliqueTopLeft"/>
            <a:lightRig rig="threePt" dir="t"/>
          </a:scene3d>
        </xdr:grpSpPr>
        <xdr:sp macro="" textlink="">
          <xdr:nvSpPr>
            <xdr:cNvPr id="6" name="Rectángulo 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SpPr/>
          </xdr:nvSpPr>
          <xdr:spPr>
            <a:xfrm>
              <a:off x="5228005" y="528"/>
              <a:ext cx="2299841" cy="1379904"/>
            </a:xfrm>
            <a:prstGeom prst="rect">
              <a:avLst/>
            </a:prstGeom>
            <a:grpFill/>
            <a:ln>
              <a:solidFill>
                <a:schemeClr val="bg1">
                  <a:lumMod val="75000"/>
                </a:schemeClr>
              </a:solidFill>
            </a:ln>
            <a:sp3d>
              <a:bevelT w="139700" h="139700" prst="divot"/>
            </a:sp3d>
          </xdr:spPr>
          <xdr:style>
            <a:lnRef idx="2">
              <a:schemeClr val="lt1">
                <a:hueOff val="0"/>
                <a:satOff val="0"/>
                <a:lumOff val="0"/>
                <a:alphaOff val="0"/>
              </a:schemeClr>
            </a:lnRef>
            <a:fillRef idx="1">
              <a:schemeClr val="accent4">
                <a:hueOff val="0"/>
                <a:satOff val="0"/>
                <a:lumOff val="0"/>
                <a:alphaOff val="0"/>
              </a:schemeClr>
            </a:fillRef>
            <a:effectRef idx="0">
              <a:schemeClr val="accent4"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000-000007000000}"/>
                </a:ext>
              </a:extLst>
            </xdr:cNvPr>
            <xdr:cNvSpPr txBox="1"/>
          </xdr:nvSpPr>
          <xdr:spPr>
            <a:xfrm>
              <a:off x="5228005" y="528"/>
              <a:ext cx="2299841" cy="1379904"/>
            </a:xfrm>
            <a:prstGeom prst="rect">
              <a:avLst/>
            </a:prstGeom>
            <a:grpFill/>
            <a:ln>
              <a:solidFill>
                <a:schemeClr val="bg1">
                  <a:lumMod val="75000"/>
                </a:schemeClr>
              </a:solidFill>
            </a:ln>
            <a:sp3d>
              <a:bevelT w="139700" h="139700" prst="divot"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91440" tIns="91440" rIns="91440" bIns="91440" numCol="1" spcCol="1270" anchor="ctr" anchorCtr="0">
              <a:noAutofit/>
            </a:bodyPr>
            <a:lstStyle/>
            <a:p>
              <a:pPr marL="0" lvl="0" indent="0" algn="ctr" defTabSz="10668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None/>
              </a:pPr>
              <a:r>
                <a:rPr lang="es-DO" sz="2400" b="1" kern="1200">
                  <a:ln>
                    <a:solidFill>
                      <a:schemeClr val="tx1">
                        <a:lumMod val="65000"/>
                        <a:lumOff val="35000"/>
                      </a:schemeClr>
                    </a:solidFill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18900000" algn="bl" rotWithShape="0">
                      <a:prstClr val="black">
                        <a:alpha val="40000"/>
                      </a:prstClr>
                    </a:outerShdw>
                  </a:effectLst>
                </a:rPr>
                <a:t>MENU DE OPCIONES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37</xdr:row>
      <xdr:rowOff>142875</xdr:rowOff>
    </xdr:from>
    <xdr:to>
      <xdr:col>1</xdr:col>
      <xdr:colOff>495300</xdr:colOff>
      <xdr:row>40</xdr:row>
      <xdr:rowOff>104775</xdr:rowOff>
    </xdr:to>
    <xdr:sp macro="" textlink="">
      <xdr:nvSpPr>
        <xdr:cNvPr id="13" name="Lágrima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723900" y="6629400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xdr:twoCellAnchor>
    <xdr:from>
      <xdr:col>2</xdr:col>
      <xdr:colOff>857250</xdr:colOff>
      <xdr:row>37</xdr:row>
      <xdr:rowOff>114300</xdr:rowOff>
    </xdr:from>
    <xdr:to>
      <xdr:col>3</xdr:col>
      <xdr:colOff>57150</xdr:colOff>
      <xdr:row>39</xdr:row>
      <xdr:rowOff>180975</xdr:rowOff>
    </xdr:to>
    <xdr:sp macro="" textlink="">
      <xdr:nvSpPr>
        <xdr:cNvPr id="14" name="Rectángulo: esquinas superiores cortada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2933700" y="69818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3</xdr:col>
      <xdr:colOff>28575</xdr:colOff>
      <xdr:row>37</xdr:row>
      <xdr:rowOff>114300</xdr:rowOff>
    </xdr:from>
    <xdr:to>
      <xdr:col>3</xdr:col>
      <xdr:colOff>695325</xdr:colOff>
      <xdr:row>39</xdr:row>
      <xdr:rowOff>180975</xdr:rowOff>
    </xdr:to>
    <xdr:sp macro="" textlink="">
      <xdr:nvSpPr>
        <xdr:cNvPr id="15" name="Rectángulo: esquinas superiores cortada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3571875" y="69818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>
    <xdr:from>
      <xdr:col>3</xdr:col>
      <xdr:colOff>666750</xdr:colOff>
      <xdr:row>37</xdr:row>
      <xdr:rowOff>114300</xdr:rowOff>
    </xdr:from>
    <xdr:to>
      <xdr:col>4</xdr:col>
      <xdr:colOff>419100</xdr:colOff>
      <xdr:row>39</xdr:row>
      <xdr:rowOff>180975</xdr:rowOff>
    </xdr:to>
    <xdr:sp macro="" textlink="">
      <xdr:nvSpPr>
        <xdr:cNvPr id="16" name="Rectángulo: esquinas superiores cortada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4210050" y="69818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4</xdr:col>
      <xdr:colOff>390525</xdr:colOff>
      <xdr:row>37</xdr:row>
      <xdr:rowOff>114300</xdr:rowOff>
    </xdr:from>
    <xdr:to>
      <xdr:col>4</xdr:col>
      <xdr:colOff>1057275</xdr:colOff>
      <xdr:row>39</xdr:row>
      <xdr:rowOff>180975</xdr:rowOff>
    </xdr:to>
    <xdr:sp macro="" textlink="">
      <xdr:nvSpPr>
        <xdr:cNvPr id="17" name="Rectángulo: esquinas superiores cortada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4848225" y="69818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4</xdr:col>
      <xdr:colOff>1085850</xdr:colOff>
      <xdr:row>37</xdr:row>
      <xdr:rowOff>114300</xdr:rowOff>
    </xdr:from>
    <xdr:to>
      <xdr:col>5</xdr:col>
      <xdr:colOff>571500</xdr:colOff>
      <xdr:row>39</xdr:row>
      <xdr:rowOff>180975</xdr:rowOff>
    </xdr:to>
    <xdr:sp macro="" textlink="">
      <xdr:nvSpPr>
        <xdr:cNvPr id="18" name="Rectángulo: esquinas superiores cortadas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5543550" y="69818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5</xdr:col>
      <xdr:colOff>542925</xdr:colOff>
      <xdr:row>37</xdr:row>
      <xdr:rowOff>114300</xdr:rowOff>
    </xdr:from>
    <xdr:to>
      <xdr:col>6</xdr:col>
      <xdr:colOff>381000</xdr:colOff>
      <xdr:row>39</xdr:row>
      <xdr:rowOff>180975</xdr:rowOff>
    </xdr:to>
    <xdr:sp macro="" textlink="">
      <xdr:nvSpPr>
        <xdr:cNvPr id="19" name="Rectángulo: esquinas superiores cortada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6181725" y="69818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1</xdr:col>
      <xdr:colOff>542925</xdr:colOff>
      <xdr:row>37</xdr:row>
      <xdr:rowOff>114300</xdr:rowOff>
    </xdr:from>
    <xdr:to>
      <xdr:col>2</xdr:col>
      <xdr:colOff>247650</xdr:colOff>
      <xdr:row>39</xdr:row>
      <xdr:rowOff>180975</xdr:rowOff>
    </xdr:to>
    <xdr:sp macro="" textlink="">
      <xdr:nvSpPr>
        <xdr:cNvPr id="20" name="Rectángulo: esquinas superiores cortada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1657350" y="6981825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2</xdr:col>
      <xdr:colOff>219075</xdr:colOff>
      <xdr:row>37</xdr:row>
      <xdr:rowOff>114300</xdr:rowOff>
    </xdr:from>
    <xdr:to>
      <xdr:col>2</xdr:col>
      <xdr:colOff>885825</xdr:colOff>
      <xdr:row>39</xdr:row>
      <xdr:rowOff>180975</xdr:rowOff>
    </xdr:to>
    <xdr:sp macro="" textlink="">
      <xdr:nvSpPr>
        <xdr:cNvPr id="21" name="Rectángulo: esquinas superiores cortadas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2295525" y="69818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4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4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30</xdr:row>
      <xdr:rowOff>142875</xdr:rowOff>
    </xdr:from>
    <xdr:to>
      <xdr:col>8</xdr:col>
      <xdr:colOff>971550</xdr:colOff>
      <xdr:row>33</xdr:row>
      <xdr:rowOff>66675</xdr:rowOff>
    </xdr:to>
    <xdr:sp macro="" textlink="">
      <xdr:nvSpPr>
        <xdr:cNvPr id="3" name="Rectángulo: esquinas superiores cortadas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8420100" y="567690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8</xdr:col>
      <xdr:colOff>0</xdr:colOff>
      <xdr:row>27</xdr:row>
      <xdr:rowOff>152400</xdr:rowOff>
    </xdr:from>
    <xdr:to>
      <xdr:col>8</xdr:col>
      <xdr:colOff>971550</xdr:colOff>
      <xdr:row>30</xdr:row>
      <xdr:rowOff>76200</xdr:rowOff>
    </xdr:to>
    <xdr:sp macro="" textlink="">
      <xdr:nvSpPr>
        <xdr:cNvPr id="4" name="Rectángulo: esquinas superiores cortadas 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8420100" y="511492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23813</xdr:colOff>
      <xdr:row>25</xdr:row>
      <xdr:rowOff>0</xdr:rowOff>
    </xdr:from>
    <xdr:to>
      <xdr:col>8</xdr:col>
      <xdr:colOff>947738</xdr:colOff>
      <xdr:row>27</xdr:row>
      <xdr:rowOff>85725</xdr:rowOff>
    </xdr:to>
    <xdr:sp macro="" textlink="">
      <xdr:nvSpPr>
        <xdr:cNvPr id="5" name="Rectángulo: esquinas superiores cortadas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443913" y="458152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1228725</xdr:colOff>
          <xdr:row>41</xdr:row>
          <xdr:rowOff>95250</xdr:rowOff>
        </xdr:from>
        <xdr:to>
          <xdr:col>4</xdr:col>
          <xdr:colOff>523875</xdr:colOff>
          <xdr:row>45</xdr:row>
          <xdr:rowOff>28575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1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990600</xdr:colOff>
          <xdr:row>41</xdr:row>
          <xdr:rowOff>123825</xdr:rowOff>
        </xdr:from>
        <xdr:to>
          <xdr:col>6</xdr:col>
          <xdr:colOff>533400</xdr:colOff>
          <xdr:row>45</xdr:row>
          <xdr:rowOff>57150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xmlns="" id="{00000000-0008-0000-01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41</xdr:row>
          <xdr:rowOff>76200</xdr:rowOff>
        </xdr:from>
        <xdr:to>
          <xdr:col>2</xdr:col>
          <xdr:colOff>742950</xdr:colOff>
          <xdr:row>45</xdr:row>
          <xdr:rowOff>9525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xmlns="" id="{00000000-0008-0000-01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COMO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41</xdr:row>
          <xdr:rowOff>47625</xdr:rowOff>
        </xdr:from>
        <xdr:to>
          <xdr:col>3</xdr:col>
          <xdr:colOff>304800</xdr:colOff>
          <xdr:row>44</xdr:row>
          <xdr:rowOff>171450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xmlns="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4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4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866775</xdr:colOff>
      <xdr:row>38</xdr:row>
      <xdr:rowOff>0</xdr:rowOff>
    </xdr:from>
    <xdr:to>
      <xdr:col>1</xdr:col>
      <xdr:colOff>638175</xdr:colOff>
      <xdr:row>40</xdr:row>
      <xdr:rowOff>152400</xdr:rowOff>
    </xdr:to>
    <xdr:sp macro="" textlink="">
      <xdr:nvSpPr>
        <xdr:cNvPr id="13" name="Lágrima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66775" y="6677025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xdr:twoCellAnchor>
    <xdr:from>
      <xdr:col>2</xdr:col>
      <xdr:colOff>981075</xdr:colOff>
      <xdr:row>37</xdr:row>
      <xdr:rowOff>142875</xdr:rowOff>
    </xdr:from>
    <xdr:to>
      <xdr:col>3</xdr:col>
      <xdr:colOff>180975</xdr:colOff>
      <xdr:row>40</xdr:row>
      <xdr:rowOff>19050</xdr:rowOff>
    </xdr:to>
    <xdr:sp macro="" textlink="">
      <xdr:nvSpPr>
        <xdr:cNvPr id="14" name="Rectángulo: esquinas superiores cortadas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3057525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3</xdr:col>
      <xdr:colOff>152400</xdr:colOff>
      <xdr:row>37</xdr:row>
      <xdr:rowOff>142875</xdr:rowOff>
    </xdr:from>
    <xdr:to>
      <xdr:col>3</xdr:col>
      <xdr:colOff>819150</xdr:colOff>
      <xdr:row>40</xdr:row>
      <xdr:rowOff>19050</xdr:rowOff>
    </xdr:to>
    <xdr:sp macro="" textlink="">
      <xdr:nvSpPr>
        <xdr:cNvPr id="15" name="Rectángulo: esquinas superiores cortadas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3695700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>
    <xdr:from>
      <xdr:col>3</xdr:col>
      <xdr:colOff>790575</xdr:colOff>
      <xdr:row>37</xdr:row>
      <xdr:rowOff>142875</xdr:rowOff>
    </xdr:from>
    <xdr:to>
      <xdr:col>4</xdr:col>
      <xdr:colOff>542925</xdr:colOff>
      <xdr:row>40</xdr:row>
      <xdr:rowOff>19050</xdr:rowOff>
    </xdr:to>
    <xdr:sp macro="" textlink="">
      <xdr:nvSpPr>
        <xdr:cNvPr id="16" name="Rectángulo: esquinas superiores cortada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4333875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4</xdr:col>
      <xdr:colOff>514350</xdr:colOff>
      <xdr:row>37</xdr:row>
      <xdr:rowOff>142875</xdr:rowOff>
    </xdr:from>
    <xdr:to>
      <xdr:col>5</xdr:col>
      <xdr:colOff>0</xdr:colOff>
      <xdr:row>40</xdr:row>
      <xdr:rowOff>19050</xdr:rowOff>
    </xdr:to>
    <xdr:sp macro="" textlink="">
      <xdr:nvSpPr>
        <xdr:cNvPr id="17" name="Rectángulo: esquinas superiores cortadas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4972050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5</xdr:col>
      <xdr:colOff>38100</xdr:colOff>
      <xdr:row>37</xdr:row>
      <xdr:rowOff>142875</xdr:rowOff>
    </xdr:from>
    <xdr:to>
      <xdr:col>5</xdr:col>
      <xdr:colOff>704850</xdr:colOff>
      <xdr:row>40</xdr:row>
      <xdr:rowOff>19050</xdr:rowOff>
    </xdr:to>
    <xdr:sp macro="" textlink="">
      <xdr:nvSpPr>
        <xdr:cNvPr id="18" name="Rectángulo: esquinas superiores cortadas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5676900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5</xdr:col>
      <xdr:colOff>676275</xdr:colOff>
      <xdr:row>37</xdr:row>
      <xdr:rowOff>142875</xdr:rowOff>
    </xdr:from>
    <xdr:to>
      <xdr:col>6</xdr:col>
      <xdr:colOff>514350</xdr:colOff>
      <xdr:row>40</xdr:row>
      <xdr:rowOff>19050</xdr:rowOff>
    </xdr:to>
    <xdr:sp macro="" textlink="">
      <xdr:nvSpPr>
        <xdr:cNvPr id="19" name="Rectángulo: esquinas superiores cortada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6315075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1</xdr:col>
      <xdr:colOff>666750</xdr:colOff>
      <xdr:row>37</xdr:row>
      <xdr:rowOff>142875</xdr:rowOff>
    </xdr:from>
    <xdr:to>
      <xdr:col>2</xdr:col>
      <xdr:colOff>371475</xdr:colOff>
      <xdr:row>40</xdr:row>
      <xdr:rowOff>19050</xdr:rowOff>
    </xdr:to>
    <xdr:sp macro="" textlink="">
      <xdr:nvSpPr>
        <xdr:cNvPr id="20" name="Rectángulo: esquinas superiores cortadas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1781175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2</xdr:col>
      <xdr:colOff>342900</xdr:colOff>
      <xdr:row>37</xdr:row>
      <xdr:rowOff>142875</xdr:rowOff>
    </xdr:from>
    <xdr:to>
      <xdr:col>2</xdr:col>
      <xdr:colOff>1009650</xdr:colOff>
      <xdr:row>40</xdr:row>
      <xdr:rowOff>19050</xdr:rowOff>
    </xdr:to>
    <xdr:sp macro="" textlink="">
      <xdr:nvSpPr>
        <xdr:cNvPr id="21" name="Rectángulo: esquinas superiores cortadas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2419350" y="7010400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41</xdr:row>
          <xdr:rowOff>66675</xdr:rowOff>
        </xdr:from>
        <xdr:to>
          <xdr:col>6</xdr:col>
          <xdr:colOff>333375</xdr:colOff>
          <xdr:row>45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xmlns="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23812</xdr:colOff>
      <xdr:row>30</xdr:row>
      <xdr:rowOff>142875</xdr:rowOff>
    </xdr:from>
    <xdr:to>
      <xdr:col>8</xdr:col>
      <xdr:colOff>995362</xdr:colOff>
      <xdr:row>33</xdr:row>
      <xdr:rowOff>66675</xdr:rowOff>
    </xdr:to>
    <xdr:sp macro="" textlink="">
      <xdr:nvSpPr>
        <xdr:cNvPr id="4" name="Rectángulo: esquinas superiores cortadas 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8443912" y="567690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8</xdr:col>
      <xdr:colOff>23812</xdr:colOff>
      <xdr:row>27</xdr:row>
      <xdr:rowOff>152400</xdr:rowOff>
    </xdr:from>
    <xdr:to>
      <xdr:col>8</xdr:col>
      <xdr:colOff>995362</xdr:colOff>
      <xdr:row>30</xdr:row>
      <xdr:rowOff>76200</xdr:rowOff>
    </xdr:to>
    <xdr:sp macro="" textlink="">
      <xdr:nvSpPr>
        <xdr:cNvPr id="5" name="Rectángulo: esquinas superiores cortadas 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8443912" y="511492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47625</xdr:colOff>
      <xdr:row>25</xdr:row>
      <xdr:rowOff>0</xdr:rowOff>
    </xdr:from>
    <xdr:to>
      <xdr:col>8</xdr:col>
      <xdr:colOff>971550</xdr:colOff>
      <xdr:row>27</xdr:row>
      <xdr:rowOff>85725</xdr:rowOff>
    </xdr:to>
    <xdr:sp macro="" textlink="">
      <xdr:nvSpPr>
        <xdr:cNvPr id="6" name="Rectángulo: esquinas superiores cortadas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8467725" y="458152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37</xdr:row>
      <xdr:rowOff>171450</xdr:rowOff>
    </xdr:from>
    <xdr:to>
      <xdr:col>2</xdr:col>
      <xdr:colOff>1038225</xdr:colOff>
      <xdr:row>40</xdr:row>
      <xdr:rowOff>47625</xdr:rowOff>
    </xdr:to>
    <xdr:sp macro="" textlink="">
      <xdr:nvSpPr>
        <xdr:cNvPr id="37" name="Rectángulo: esquinas superiores cortadas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SpPr/>
      </xdr:nvSpPr>
      <xdr:spPr>
        <a:xfrm>
          <a:off x="2447925" y="70389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1</xdr:col>
      <xdr:colOff>695325</xdr:colOff>
      <xdr:row>37</xdr:row>
      <xdr:rowOff>171450</xdr:rowOff>
    </xdr:from>
    <xdr:to>
      <xdr:col>2</xdr:col>
      <xdr:colOff>400050</xdr:colOff>
      <xdr:row>40</xdr:row>
      <xdr:rowOff>47625</xdr:rowOff>
    </xdr:to>
    <xdr:sp macro="" textlink="">
      <xdr:nvSpPr>
        <xdr:cNvPr id="36" name="Rectángulo: esquinas superiores cortadas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SpPr/>
      </xdr:nvSpPr>
      <xdr:spPr>
        <a:xfrm>
          <a:off x="1809750" y="70389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5</xdr:col>
      <xdr:colOff>704850</xdr:colOff>
      <xdr:row>37</xdr:row>
      <xdr:rowOff>171450</xdr:rowOff>
    </xdr:from>
    <xdr:to>
      <xdr:col>6</xdr:col>
      <xdr:colOff>542925</xdr:colOff>
      <xdr:row>40</xdr:row>
      <xdr:rowOff>47625</xdr:rowOff>
    </xdr:to>
    <xdr:sp macro="" textlink="">
      <xdr:nvSpPr>
        <xdr:cNvPr id="35" name="Rectángulo: esquinas superiores cortadas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SpPr/>
      </xdr:nvSpPr>
      <xdr:spPr>
        <a:xfrm>
          <a:off x="6343650" y="70389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5</xdr:col>
      <xdr:colOff>85725</xdr:colOff>
      <xdr:row>37</xdr:row>
      <xdr:rowOff>171450</xdr:rowOff>
    </xdr:from>
    <xdr:to>
      <xdr:col>5</xdr:col>
      <xdr:colOff>752475</xdr:colOff>
      <xdr:row>40</xdr:row>
      <xdr:rowOff>47625</xdr:rowOff>
    </xdr:to>
    <xdr:sp macro="" textlink="">
      <xdr:nvSpPr>
        <xdr:cNvPr id="34" name="Rectángulo: esquinas superiores cortadas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5724525" y="70389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4</xdr:col>
      <xdr:colOff>581025</xdr:colOff>
      <xdr:row>37</xdr:row>
      <xdr:rowOff>171450</xdr:rowOff>
    </xdr:from>
    <xdr:to>
      <xdr:col>5</xdr:col>
      <xdr:colOff>66675</xdr:colOff>
      <xdr:row>40</xdr:row>
      <xdr:rowOff>47625</xdr:rowOff>
    </xdr:to>
    <xdr:sp macro="" textlink="">
      <xdr:nvSpPr>
        <xdr:cNvPr id="33" name="Rectángulo: esquinas superiores cortadas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5038725" y="70389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3</xdr:col>
      <xdr:colOff>857250</xdr:colOff>
      <xdr:row>37</xdr:row>
      <xdr:rowOff>171450</xdr:rowOff>
    </xdr:from>
    <xdr:to>
      <xdr:col>4</xdr:col>
      <xdr:colOff>609600</xdr:colOff>
      <xdr:row>40</xdr:row>
      <xdr:rowOff>47625</xdr:rowOff>
    </xdr:to>
    <xdr:sp macro="" textlink="">
      <xdr:nvSpPr>
        <xdr:cNvPr id="32" name="Rectángulo: esquinas superiores cortadas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4400550" y="70389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3</xdr:col>
      <xdr:colOff>228600</xdr:colOff>
      <xdr:row>37</xdr:row>
      <xdr:rowOff>171450</xdr:rowOff>
    </xdr:from>
    <xdr:to>
      <xdr:col>3</xdr:col>
      <xdr:colOff>895350</xdr:colOff>
      <xdr:row>40</xdr:row>
      <xdr:rowOff>47625</xdr:rowOff>
    </xdr:to>
    <xdr:sp macro="" textlink="">
      <xdr:nvSpPr>
        <xdr:cNvPr id="26" name="Rectángulo: esquinas superiores cortadas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3771900" y="70389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42</xdr:row>
          <xdr:rowOff>28575</xdr:rowOff>
        </xdr:from>
        <xdr:to>
          <xdr:col>2</xdr:col>
          <xdr:colOff>1304925</xdr:colOff>
          <xdr:row>45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895350</xdr:colOff>
      <xdr:row>38</xdr:row>
      <xdr:rowOff>28575</xdr:rowOff>
    </xdr:from>
    <xdr:to>
      <xdr:col>1</xdr:col>
      <xdr:colOff>666750</xdr:colOff>
      <xdr:row>40</xdr:row>
      <xdr:rowOff>180975</xdr:rowOff>
    </xdr:to>
    <xdr:sp macro="" textlink="">
      <xdr:nvSpPr>
        <xdr:cNvPr id="24" name="Lágrima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895350" y="6705600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xdr:twoCellAnchor>
    <xdr:from>
      <xdr:col>2</xdr:col>
      <xdr:colOff>1076325</xdr:colOff>
      <xdr:row>37</xdr:row>
      <xdr:rowOff>171450</xdr:rowOff>
    </xdr:from>
    <xdr:to>
      <xdr:col>3</xdr:col>
      <xdr:colOff>276225</xdr:colOff>
      <xdr:row>40</xdr:row>
      <xdr:rowOff>47625</xdr:rowOff>
    </xdr:to>
    <xdr:sp macro="" textlink="">
      <xdr:nvSpPr>
        <xdr:cNvPr id="25" name="Rectángulo: esquinas superiores cortadas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3152775" y="7038975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42</xdr:row>
          <xdr:rowOff>38100</xdr:rowOff>
        </xdr:from>
        <xdr:to>
          <xdr:col>5</xdr:col>
          <xdr:colOff>666750</xdr:colOff>
          <xdr:row>46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xmlns="" id="{00000000-0008-0000-03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23812</xdr:colOff>
      <xdr:row>30</xdr:row>
      <xdr:rowOff>142875</xdr:rowOff>
    </xdr:from>
    <xdr:to>
      <xdr:col>8</xdr:col>
      <xdr:colOff>995362</xdr:colOff>
      <xdr:row>33</xdr:row>
      <xdr:rowOff>66675</xdr:rowOff>
    </xdr:to>
    <xdr:sp macro="" textlink="">
      <xdr:nvSpPr>
        <xdr:cNvPr id="2" name="Rectángulo: esquinas superiores cortadas 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8443912" y="567690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8</xdr:col>
      <xdr:colOff>23812</xdr:colOff>
      <xdr:row>27</xdr:row>
      <xdr:rowOff>152400</xdr:rowOff>
    </xdr:from>
    <xdr:to>
      <xdr:col>8</xdr:col>
      <xdr:colOff>995362</xdr:colOff>
      <xdr:row>30</xdr:row>
      <xdr:rowOff>76200</xdr:rowOff>
    </xdr:to>
    <xdr:sp macro="" textlink="">
      <xdr:nvSpPr>
        <xdr:cNvPr id="3" name="Rectángulo: esquinas superiores cortadas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8443912" y="511492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47625</xdr:colOff>
      <xdr:row>25</xdr:row>
      <xdr:rowOff>0</xdr:rowOff>
    </xdr:from>
    <xdr:to>
      <xdr:col>8</xdr:col>
      <xdr:colOff>971550</xdr:colOff>
      <xdr:row>27</xdr:row>
      <xdr:rowOff>85725</xdr:rowOff>
    </xdr:to>
    <xdr:sp macro="" textlink="">
      <xdr:nvSpPr>
        <xdr:cNvPr id="4" name="Rectángulo: esquinas superiores cortadas 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8467725" y="458152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37</xdr:row>
      <xdr:rowOff>133350</xdr:rowOff>
    </xdr:from>
    <xdr:to>
      <xdr:col>2</xdr:col>
      <xdr:colOff>1009650</xdr:colOff>
      <xdr:row>40</xdr:row>
      <xdr:rowOff>9525</xdr:rowOff>
    </xdr:to>
    <xdr:sp macro="" textlink="">
      <xdr:nvSpPr>
        <xdr:cNvPr id="40" name="Rectángulo: esquinas superiores cortadas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SpPr/>
      </xdr:nvSpPr>
      <xdr:spPr>
        <a:xfrm>
          <a:off x="2419350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1</xdr:col>
      <xdr:colOff>666750</xdr:colOff>
      <xdr:row>37</xdr:row>
      <xdr:rowOff>133350</xdr:rowOff>
    </xdr:from>
    <xdr:to>
      <xdr:col>2</xdr:col>
      <xdr:colOff>371475</xdr:colOff>
      <xdr:row>40</xdr:row>
      <xdr:rowOff>9525</xdr:rowOff>
    </xdr:to>
    <xdr:sp macro="" textlink="">
      <xdr:nvSpPr>
        <xdr:cNvPr id="39" name="Rectángulo: esquinas superiores cortadas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SpPr/>
      </xdr:nvSpPr>
      <xdr:spPr>
        <a:xfrm>
          <a:off x="1781175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5</xdr:col>
      <xdr:colOff>666750</xdr:colOff>
      <xdr:row>37</xdr:row>
      <xdr:rowOff>133350</xdr:rowOff>
    </xdr:from>
    <xdr:to>
      <xdr:col>6</xdr:col>
      <xdr:colOff>504825</xdr:colOff>
      <xdr:row>40</xdr:row>
      <xdr:rowOff>9525</xdr:rowOff>
    </xdr:to>
    <xdr:sp macro="" textlink="">
      <xdr:nvSpPr>
        <xdr:cNvPr id="38" name="Rectángulo: esquinas superiores cortadas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SpPr/>
      </xdr:nvSpPr>
      <xdr:spPr>
        <a:xfrm>
          <a:off x="6305550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5</xdr:col>
      <xdr:colOff>28575</xdr:colOff>
      <xdr:row>37</xdr:row>
      <xdr:rowOff>133350</xdr:rowOff>
    </xdr:from>
    <xdr:to>
      <xdr:col>5</xdr:col>
      <xdr:colOff>695325</xdr:colOff>
      <xdr:row>40</xdr:row>
      <xdr:rowOff>9525</xdr:rowOff>
    </xdr:to>
    <xdr:sp macro="" textlink="">
      <xdr:nvSpPr>
        <xdr:cNvPr id="37" name="Rectángulo: esquinas superiores cortadas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SpPr/>
      </xdr:nvSpPr>
      <xdr:spPr>
        <a:xfrm>
          <a:off x="5667375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4</xdr:col>
      <xdr:colOff>514350</xdr:colOff>
      <xdr:row>37</xdr:row>
      <xdr:rowOff>133350</xdr:rowOff>
    </xdr:from>
    <xdr:to>
      <xdr:col>5</xdr:col>
      <xdr:colOff>0</xdr:colOff>
      <xdr:row>40</xdr:row>
      <xdr:rowOff>9525</xdr:rowOff>
    </xdr:to>
    <xdr:sp macro="" textlink="">
      <xdr:nvSpPr>
        <xdr:cNvPr id="36" name="Rectángulo: esquinas superiores cortadas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SpPr/>
      </xdr:nvSpPr>
      <xdr:spPr>
        <a:xfrm>
          <a:off x="4972050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3</xdr:col>
      <xdr:colOff>790575</xdr:colOff>
      <xdr:row>37</xdr:row>
      <xdr:rowOff>133350</xdr:rowOff>
    </xdr:from>
    <xdr:to>
      <xdr:col>4</xdr:col>
      <xdr:colOff>542925</xdr:colOff>
      <xdr:row>40</xdr:row>
      <xdr:rowOff>9525</xdr:rowOff>
    </xdr:to>
    <xdr:sp macro="" textlink="">
      <xdr:nvSpPr>
        <xdr:cNvPr id="35" name="Rectángulo: esquinas superiores cortadas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SpPr/>
      </xdr:nvSpPr>
      <xdr:spPr>
        <a:xfrm>
          <a:off x="4333875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2</xdr:col>
      <xdr:colOff>981075</xdr:colOff>
      <xdr:row>37</xdr:row>
      <xdr:rowOff>133350</xdr:rowOff>
    </xdr:from>
    <xdr:to>
      <xdr:col>3</xdr:col>
      <xdr:colOff>180975</xdr:colOff>
      <xdr:row>40</xdr:row>
      <xdr:rowOff>9525</xdr:rowOff>
    </xdr:to>
    <xdr:sp macro="" textlink="">
      <xdr:nvSpPr>
        <xdr:cNvPr id="33" name="Rectángulo: esquinas superiores cortadas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3057525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42</xdr:row>
          <xdr:rowOff>0</xdr:rowOff>
        </xdr:from>
        <xdr:to>
          <xdr:col>3</xdr:col>
          <xdr:colOff>419100</xdr:colOff>
          <xdr:row>45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4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4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857250</xdr:colOff>
      <xdr:row>38</xdr:row>
      <xdr:rowOff>0</xdr:rowOff>
    </xdr:from>
    <xdr:to>
      <xdr:col>1</xdr:col>
      <xdr:colOff>628650</xdr:colOff>
      <xdr:row>40</xdr:row>
      <xdr:rowOff>152400</xdr:rowOff>
    </xdr:to>
    <xdr:sp macro="" textlink="">
      <xdr:nvSpPr>
        <xdr:cNvPr id="32" name="Lágrima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857250" y="6677025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xdr:twoCellAnchor>
    <xdr:from>
      <xdr:col>3</xdr:col>
      <xdr:colOff>152400</xdr:colOff>
      <xdr:row>37</xdr:row>
      <xdr:rowOff>133350</xdr:rowOff>
    </xdr:from>
    <xdr:to>
      <xdr:col>3</xdr:col>
      <xdr:colOff>819150</xdr:colOff>
      <xdr:row>40</xdr:row>
      <xdr:rowOff>9525</xdr:rowOff>
    </xdr:to>
    <xdr:sp macro="" textlink="">
      <xdr:nvSpPr>
        <xdr:cNvPr id="34" name="Rectángulo: esquinas superiores cortadas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3695700" y="7000875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41</xdr:row>
          <xdr:rowOff>171450</xdr:rowOff>
        </xdr:from>
        <xdr:to>
          <xdr:col>6</xdr:col>
          <xdr:colOff>276225</xdr:colOff>
          <xdr:row>45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xmlns="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23812</xdr:colOff>
      <xdr:row>30</xdr:row>
      <xdr:rowOff>142875</xdr:rowOff>
    </xdr:from>
    <xdr:to>
      <xdr:col>8</xdr:col>
      <xdr:colOff>995362</xdr:colOff>
      <xdr:row>33</xdr:row>
      <xdr:rowOff>66675</xdr:rowOff>
    </xdr:to>
    <xdr:sp macro="" textlink="">
      <xdr:nvSpPr>
        <xdr:cNvPr id="2" name="Rectángulo: esquinas superiores cortadas 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8443912" y="567690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8</xdr:col>
      <xdr:colOff>23812</xdr:colOff>
      <xdr:row>27</xdr:row>
      <xdr:rowOff>152400</xdr:rowOff>
    </xdr:from>
    <xdr:to>
      <xdr:col>8</xdr:col>
      <xdr:colOff>995362</xdr:colOff>
      <xdr:row>30</xdr:row>
      <xdr:rowOff>76200</xdr:rowOff>
    </xdr:to>
    <xdr:sp macro="" textlink="">
      <xdr:nvSpPr>
        <xdr:cNvPr id="6" name="Rectángulo: esquinas superiores cortadas 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8443912" y="511492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47625</xdr:colOff>
      <xdr:row>25</xdr:row>
      <xdr:rowOff>0</xdr:rowOff>
    </xdr:from>
    <xdr:to>
      <xdr:col>8</xdr:col>
      <xdr:colOff>971550</xdr:colOff>
      <xdr:row>27</xdr:row>
      <xdr:rowOff>85725</xdr:rowOff>
    </xdr:to>
    <xdr:sp macro="" textlink="">
      <xdr:nvSpPr>
        <xdr:cNvPr id="7" name="Rectángulo: esquinas superiores cortadas 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8467725" y="458152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334737</xdr:colOff>
      <xdr:row>37</xdr:row>
      <xdr:rowOff>133350</xdr:rowOff>
    </xdr:from>
    <xdr:to>
      <xdr:col>2</xdr:col>
      <xdr:colOff>1001487</xdr:colOff>
      <xdr:row>40</xdr:row>
      <xdr:rowOff>9525</xdr:rowOff>
    </xdr:to>
    <xdr:sp macro="" textlink="">
      <xdr:nvSpPr>
        <xdr:cNvPr id="30" name="Rectángulo: esquinas superiores cortada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2411187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1</xdr:col>
      <xdr:colOff>661308</xdr:colOff>
      <xdr:row>37</xdr:row>
      <xdr:rowOff>133350</xdr:rowOff>
    </xdr:from>
    <xdr:to>
      <xdr:col>2</xdr:col>
      <xdr:colOff>366033</xdr:colOff>
      <xdr:row>40</xdr:row>
      <xdr:rowOff>9525</xdr:rowOff>
    </xdr:to>
    <xdr:sp macro="" textlink="">
      <xdr:nvSpPr>
        <xdr:cNvPr id="29" name="Rectángulo: esquinas superiores cortadas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775733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5</xdr:col>
      <xdr:colOff>625929</xdr:colOff>
      <xdr:row>37</xdr:row>
      <xdr:rowOff>123825</xdr:rowOff>
    </xdr:from>
    <xdr:to>
      <xdr:col>6</xdr:col>
      <xdr:colOff>464004</xdr:colOff>
      <xdr:row>40</xdr:row>
      <xdr:rowOff>0</xdr:rowOff>
    </xdr:to>
    <xdr:sp macro="" textlink="">
      <xdr:nvSpPr>
        <xdr:cNvPr id="28" name="Rectángulo: esquinas superiores cortadas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6264729" y="699135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4</xdr:col>
      <xdr:colOff>1171575</xdr:colOff>
      <xdr:row>37</xdr:row>
      <xdr:rowOff>123825</xdr:rowOff>
    </xdr:from>
    <xdr:to>
      <xdr:col>5</xdr:col>
      <xdr:colOff>657225</xdr:colOff>
      <xdr:row>40</xdr:row>
      <xdr:rowOff>0</xdr:rowOff>
    </xdr:to>
    <xdr:sp macro="" textlink="">
      <xdr:nvSpPr>
        <xdr:cNvPr id="27" name="Rectángulo: esquinas superiores cortada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5629275" y="699135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4</xdr:col>
      <xdr:colOff>495300</xdr:colOff>
      <xdr:row>37</xdr:row>
      <xdr:rowOff>123825</xdr:rowOff>
    </xdr:from>
    <xdr:to>
      <xdr:col>4</xdr:col>
      <xdr:colOff>1162050</xdr:colOff>
      <xdr:row>40</xdr:row>
      <xdr:rowOff>0</xdr:rowOff>
    </xdr:to>
    <xdr:sp macro="" textlink="">
      <xdr:nvSpPr>
        <xdr:cNvPr id="26" name="Rectángulo: esquinas superiores cortada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4953000" y="699135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3</xdr:col>
      <xdr:colOff>138795</xdr:colOff>
      <xdr:row>37</xdr:row>
      <xdr:rowOff>123825</xdr:rowOff>
    </xdr:from>
    <xdr:to>
      <xdr:col>3</xdr:col>
      <xdr:colOff>805545</xdr:colOff>
      <xdr:row>40</xdr:row>
      <xdr:rowOff>0</xdr:rowOff>
    </xdr:to>
    <xdr:sp macro="" textlink="">
      <xdr:nvSpPr>
        <xdr:cNvPr id="24" name="Rectángulo: esquinas superiores cortadas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3682095" y="699135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>
    <xdr:from>
      <xdr:col>2</xdr:col>
      <xdr:colOff>970191</xdr:colOff>
      <xdr:row>37</xdr:row>
      <xdr:rowOff>123825</xdr:rowOff>
    </xdr:from>
    <xdr:to>
      <xdr:col>3</xdr:col>
      <xdr:colOff>170091</xdr:colOff>
      <xdr:row>40</xdr:row>
      <xdr:rowOff>0</xdr:rowOff>
    </xdr:to>
    <xdr:sp macro="" textlink="">
      <xdr:nvSpPr>
        <xdr:cNvPr id="23" name="Rectángulo: esquinas superiores cortada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3046641" y="699135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42</xdr:row>
          <xdr:rowOff>19050</xdr:rowOff>
        </xdr:from>
        <xdr:to>
          <xdr:col>3</xdr:col>
          <xdr:colOff>361950</xdr:colOff>
          <xdr:row>45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4</xdr:row>
      <xdr:rowOff>66675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4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857250</xdr:colOff>
      <xdr:row>38</xdr:row>
      <xdr:rowOff>0</xdr:rowOff>
    </xdr:from>
    <xdr:to>
      <xdr:col>1</xdr:col>
      <xdr:colOff>628650</xdr:colOff>
      <xdr:row>40</xdr:row>
      <xdr:rowOff>152400</xdr:rowOff>
    </xdr:to>
    <xdr:sp macro="" textlink="">
      <xdr:nvSpPr>
        <xdr:cNvPr id="22" name="Lágrima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857250" y="6677025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xdr:twoCellAnchor>
    <xdr:from>
      <xdr:col>3</xdr:col>
      <xdr:colOff>774249</xdr:colOff>
      <xdr:row>37</xdr:row>
      <xdr:rowOff>123825</xdr:rowOff>
    </xdr:from>
    <xdr:to>
      <xdr:col>4</xdr:col>
      <xdr:colOff>526599</xdr:colOff>
      <xdr:row>40</xdr:row>
      <xdr:rowOff>0</xdr:rowOff>
    </xdr:to>
    <xdr:sp macro="" textlink="">
      <xdr:nvSpPr>
        <xdr:cNvPr id="25" name="Rectángulo: esquinas superiores cortadas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4317549" y="6991350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</xdr:row>
          <xdr:rowOff>19050</xdr:rowOff>
        </xdr:from>
        <xdr:to>
          <xdr:col>6</xdr:col>
          <xdr:colOff>57150</xdr:colOff>
          <xdr:row>45</xdr:row>
          <xdr:rowOff>142875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30</xdr:row>
      <xdr:rowOff>142875</xdr:rowOff>
    </xdr:from>
    <xdr:to>
      <xdr:col>8</xdr:col>
      <xdr:colOff>971550</xdr:colOff>
      <xdr:row>33</xdr:row>
      <xdr:rowOff>66675</xdr:rowOff>
    </xdr:to>
    <xdr:sp macro="" textlink="">
      <xdr:nvSpPr>
        <xdr:cNvPr id="3" name="Rectángulo: esquinas superiores cortadas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8420100" y="567690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8</xdr:col>
      <xdr:colOff>0</xdr:colOff>
      <xdr:row>27</xdr:row>
      <xdr:rowOff>152400</xdr:rowOff>
    </xdr:from>
    <xdr:to>
      <xdr:col>8</xdr:col>
      <xdr:colOff>971550</xdr:colOff>
      <xdr:row>30</xdr:row>
      <xdr:rowOff>76200</xdr:rowOff>
    </xdr:to>
    <xdr:sp macro="" textlink="">
      <xdr:nvSpPr>
        <xdr:cNvPr id="4" name="Rectángulo: esquinas superiores cortadas 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420100" y="511492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23813</xdr:colOff>
      <xdr:row>25</xdr:row>
      <xdr:rowOff>0</xdr:rowOff>
    </xdr:from>
    <xdr:to>
      <xdr:col>8</xdr:col>
      <xdr:colOff>947738</xdr:colOff>
      <xdr:row>27</xdr:row>
      <xdr:rowOff>85725</xdr:rowOff>
    </xdr:to>
    <xdr:sp macro="" textlink="">
      <xdr:nvSpPr>
        <xdr:cNvPr id="5" name="Rectángulo: esquinas superiores cortadas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8443913" y="458152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337458</xdr:colOff>
      <xdr:row>37</xdr:row>
      <xdr:rowOff>142875</xdr:rowOff>
    </xdr:from>
    <xdr:to>
      <xdr:col>2</xdr:col>
      <xdr:colOff>1004208</xdr:colOff>
      <xdr:row>40</xdr:row>
      <xdr:rowOff>19050</xdr:rowOff>
    </xdr:to>
    <xdr:sp macro="" textlink="">
      <xdr:nvSpPr>
        <xdr:cNvPr id="21" name="Rectángulo: esquinas superiores cortada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2413908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1</xdr:col>
      <xdr:colOff>659947</xdr:colOff>
      <xdr:row>37</xdr:row>
      <xdr:rowOff>142875</xdr:rowOff>
    </xdr:from>
    <xdr:to>
      <xdr:col>2</xdr:col>
      <xdr:colOff>364672</xdr:colOff>
      <xdr:row>40</xdr:row>
      <xdr:rowOff>19050</xdr:rowOff>
    </xdr:to>
    <xdr:sp macro="" textlink="">
      <xdr:nvSpPr>
        <xdr:cNvPr id="20" name="Rectángulo: esquinas superiores cortada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1774372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5</xdr:col>
      <xdr:colOff>677636</xdr:colOff>
      <xdr:row>37</xdr:row>
      <xdr:rowOff>142875</xdr:rowOff>
    </xdr:from>
    <xdr:to>
      <xdr:col>6</xdr:col>
      <xdr:colOff>515711</xdr:colOff>
      <xdr:row>40</xdr:row>
      <xdr:rowOff>19050</xdr:rowOff>
    </xdr:to>
    <xdr:sp macro="" textlink="">
      <xdr:nvSpPr>
        <xdr:cNvPr id="19" name="Rectángulo: esquinas superiores cortada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6316436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5</xdr:col>
      <xdr:colOff>38100</xdr:colOff>
      <xdr:row>37</xdr:row>
      <xdr:rowOff>142875</xdr:rowOff>
    </xdr:from>
    <xdr:to>
      <xdr:col>5</xdr:col>
      <xdr:colOff>704850</xdr:colOff>
      <xdr:row>40</xdr:row>
      <xdr:rowOff>19050</xdr:rowOff>
    </xdr:to>
    <xdr:sp macro="" textlink="">
      <xdr:nvSpPr>
        <xdr:cNvPr id="18" name="Rectángulo: esquinas superiores cortadas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5676900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3</xdr:col>
      <xdr:colOff>789216</xdr:colOff>
      <xdr:row>37</xdr:row>
      <xdr:rowOff>142875</xdr:rowOff>
    </xdr:from>
    <xdr:to>
      <xdr:col>4</xdr:col>
      <xdr:colOff>541566</xdr:colOff>
      <xdr:row>40</xdr:row>
      <xdr:rowOff>19050</xdr:rowOff>
    </xdr:to>
    <xdr:sp macro="" textlink="">
      <xdr:nvSpPr>
        <xdr:cNvPr id="16" name="Rectángulo: esquinas superiores cortada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4332516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3</xdr:col>
      <xdr:colOff>149680</xdr:colOff>
      <xdr:row>37</xdr:row>
      <xdr:rowOff>142875</xdr:rowOff>
    </xdr:from>
    <xdr:to>
      <xdr:col>3</xdr:col>
      <xdr:colOff>816430</xdr:colOff>
      <xdr:row>40</xdr:row>
      <xdr:rowOff>19050</xdr:rowOff>
    </xdr:to>
    <xdr:sp macro="" textlink="">
      <xdr:nvSpPr>
        <xdr:cNvPr id="15" name="Rectángulo: esquinas superiores cortada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3692980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>
    <xdr:from>
      <xdr:col>2</xdr:col>
      <xdr:colOff>976994</xdr:colOff>
      <xdr:row>37</xdr:row>
      <xdr:rowOff>142875</xdr:rowOff>
    </xdr:from>
    <xdr:to>
      <xdr:col>3</xdr:col>
      <xdr:colOff>176894</xdr:colOff>
      <xdr:row>40</xdr:row>
      <xdr:rowOff>19050</xdr:rowOff>
    </xdr:to>
    <xdr:sp macro="" textlink="">
      <xdr:nvSpPr>
        <xdr:cNvPr id="14" name="Rectángulo: esquinas superiores cortada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3053444" y="7010400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0</xdr:col>
      <xdr:colOff>866775</xdr:colOff>
      <xdr:row>38</xdr:row>
      <xdr:rowOff>0</xdr:rowOff>
    </xdr:from>
    <xdr:to>
      <xdr:col>1</xdr:col>
      <xdr:colOff>638175</xdr:colOff>
      <xdr:row>40</xdr:row>
      <xdr:rowOff>152400</xdr:rowOff>
    </xdr:to>
    <xdr:sp macro="" textlink="">
      <xdr:nvSpPr>
        <xdr:cNvPr id="13" name="Lágrima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66775" y="6677025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41</xdr:row>
          <xdr:rowOff>161925</xdr:rowOff>
        </xdr:from>
        <xdr:to>
          <xdr:col>3</xdr:col>
          <xdr:colOff>342900</xdr:colOff>
          <xdr:row>45</xdr:row>
          <xdr:rowOff>95250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4</xdr:row>
      <xdr:rowOff>66675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4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514350</xdr:colOff>
      <xdr:row>37</xdr:row>
      <xdr:rowOff>142875</xdr:rowOff>
    </xdr:from>
    <xdr:to>
      <xdr:col>5</xdr:col>
      <xdr:colOff>0</xdr:colOff>
      <xdr:row>40</xdr:row>
      <xdr:rowOff>19050</xdr:rowOff>
    </xdr:to>
    <xdr:sp macro="" textlink="">
      <xdr:nvSpPr>
        <xdr:cNvPr id="17" name="Rectángulo: esquinas superiores cortadas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4972050" y="7010400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41</xdr:row>
          <xdr:rowOff>142875</xdr:rowOff>
        </xdr:from>
        <xdr:to>
          <xdr:col>6</xdr:col>
          <xdr:colOff>66675</xdr:colOff>
          <xdr:row>45</xdr:row>
          <xdr:rowOff>76200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23812</xdr:colOff>
      <xdr:row>30</xdr:row>
      <xdr:rowOff>142875</xdr:rowOff>
    </xdr:from>
    <xdr:to>
      <xdr:col>8</xdr:col>
      <xdr:colOff>995362</xdr:colOff>
      <xdr:row>33</xdr:row>
      <xdr:rowOff>66675</xdr:rowOff>
    </xdr:to>
    <xdr:sp macro="" textlink="">
      <xdr:nvSpPr>
        <xdr:cNvPr id="3" name="Rectángulo: esquinas superiores cortadas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8443912" y="567690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8</xdr:col>
      <xdr:colOff>23812</xdr:colOff>
      <xdr:row>27</xdr:row>
      <xdr:rowOff>152400</xdr:rowOff>
    </xdr:from>
    <xdr:to>
      <xdr:col>8</xdr:col>
      <xdr:colOff>995362</xdr:colOff>
      <xdr:row>30</xdr:row>
      <xdr:rowOff>76200</xdr:rowOff>
    </xdr:to>
    <xdr:sp macro="" textlink="">
      <xdr:nvSpPr>
        <xdr:cNvPr id="4" name="Rectángulo: esquinas superiores cortadas 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8443912" y="511492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47625</xdr:colOff>
      <xdr:row>25</xdr:row>
      <xdr:rowOff>0</xdr:rowOff>
    </xdr:from>
    <xdr:to>
      <xdr:col>8</xdr:col>
      <xdr:colOff>971550</xdr:colOff>
      <xdr:row>27</xdr:row>
      <xdr:rowOff>85725</xdr:rowOff>
    </xdr:to>
    <xdr:sp macro="" textlink="">
      <xdr:nvSpPr>
        <xdr:cNvPr id="5" name="Rectángulo: esquinas superiores cortadas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8467725" y="458152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334737</xdr:colOff>
      <xdr:row>37</xdr:row>
      <xdr:rowOff>152400</xdr:rowOff>
    </xdr:from>
    <xdr:to>
      <xdr:col>2</xdr:col>
      <xdr:colOff>1001487</xdr:colOff>
      <xdr:row>40</xdr:row>
      <xdr:rowOff>28575</xdr:rowOff>
    </xdr:to>
    <xdr:sp macro="" textlink="">
      <xdr:nvSpPr>
        <xdr:cNvPr id="21" name="Rectángulo: esquinas superiores cortada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2411187" y="70199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1</xdr:col>
      <xdr:colOff>661308</xdr:colOff>
      <xdr:row>37</xdr:row>
      <xdr:rowOff>152400</xdr:rowOff>
    </xdr:from>
    <xdr:to>
      <xdr:col>2</xdr:col>
      <xdr:colOff>366033</xdr:colOff>
      <xdr:row>40</xdr:row>
      <xdr:rowOff>28575</xdr:rowOff>
    </xdr:to>
    <xdr:sp macro="" textlink="">
      <xdr:nvSpPr>
        <xdr:cNvPr id="20" name="Rectángulo: esquinas superiores cortada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1775733" y="70199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5</xdr:col>
      <xdr:colOff>644979</xdr:colOff>
      <xdr:row>37</xdr:row>
      <xdr:rowOff>152400</xdr:rowOff>
    </xdr:from>
    <xdr:to>
      <xdr:col>6</xdr:col>
      <xdr:colOff>483054</xdr:colOff>
      <xdr:row>40</xdr:row>
      <xdr:rowOff>28575</xdr:rowOff>
    </xdr:to>
    <xdr:sp macro="" textlink="">
      <xdr:nvSpPr>
        <xdr:cNvPr id="19" name="Rectángulo: esquinas superiores cortada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6283779" y="70199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4</xdr:col>
      <xdr:colOff>495300</xdr:colOff>
      <xdr:row>37</xdr:row>
      <xdr:rowOff>152400</xdr:rowOff>
    </xdr:from>
    <xdr:to>
      <xdr:col>4</xdr:col>
      <xdr:colOff>1162050</xdr:colOff>
      <xdr:row>40</xdr:row>
      <xdr:rowOff>28575</xdr:rowOff>
    </xdr:to>
    <xdr:sp macro="" textlink="">
      <xdr:nvSpPr>
        <xdr:cNvPr id="17" name="Rectángulo: esquinas superiores cortada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4953000" y="70199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3</xdr:col>
      <xdr:colOff>774249</xdr:colOff>
      <xdr:row>37</xdr:row>
      <xdr:rowOff>152400</xdr:rowOff>
    </xdr:from>
    <xdr:to>
      <xdr:col>4</xdr:col>
      <xdr:colOff>526599</xdr:colOff>
      <xdr:row>40</xdr:row>
      <xdr:rowOff>28575</xdr:rowOff>
    </xdr:to>
    <xdr:sp macro="" textlink="">
      <xdr:nvSpPr>
        <xdr:cNvPr id="16" name="Rectángulo: esquinas superiores cortada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4317549" y="70199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3</xdr:col>
      <xdr:colOff>138795</xdr:colOff>
      <xdr:row>37</xdr:row>
      <xdr:rowOff>152400</xdr:rowOff>
    </xdr:from>
    <xdr:to>
      <xdr:col>3</xdr:col>
      <xdr:colOff>805545</xdr:colOff>
      <xdr:row>40</xdr:row>
      <xdr:rowOff>28575</xdr:rowOff>
    </xdr:to>
    <xdr:sp macro="" textlink="">
      <xdr:nvSpPr>
        <xdr:cNvPr id="15" name="Rectángulo: esquinas superiores cortada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3682095" y="70199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>
    <xdr:from>
      <xdr:col>2</xdr:col>
      <xdr:colOff>970191</xdr:colOff>
      <xdr:row>37</xdr:row>
      <xdr:rowOff>152400</xdr:rowOff>
    </xdr:from>
    <xdr:to>
      <xdr:col>3</xdr:col>
      <xdr:colOff>170091</xdr:colOff>
      <xdr:row>40</xdr:row>
      <xdr:rowOff>28575</xdr:rowOff>
    </xdr:to>
    <xdr:sp macro="" textlink="">
      <xdr:nvSpPr>
        <xdr:cNvPr id="14" name="Rectángulo: esquinas superiores cortada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3046641" y="701992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0</xdr:col>
      <xdr:colOff>866775</xdr:colOff>
      <xdr:row>38</xdr:row>
      <xdr:rowOff>0</xdr:rowOff>
    </xdr:from>
    <xdr:to>
      <xdr:col>1</xdr:col>
      <xdr:colOff>638175</xdr:colOff>
      <xdr:row>40</xdr:row>
      <xdr:rowOff>152400</xdr:rowOff>
    </xdr:to>
    <xdr:sp macro="" textlink="">
      <xdr:nvSpPr>
        <xdr:cNvPr id="13" name="Lágrima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66775" y="6677025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4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4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4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152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9525</xdr:colOff>
      <xdr:row>37</xdr:row>
      <xdr:rowOff>152400</xdr:rowOff>
    </xdr:from>
    <xdr:to>
      <xdr:col>5</xdr:col>
      <xdr:colOff>676275</xdr:colOff>
      <xdr:row>40</xdr:row>
      <xdr:rowOff>28575</xdr:rowOff>
    </xdr:to>
    <xdr:sp macro="" textlink="">
      <xdr:nvSpPr>
        <xdr:cNvPr id="18" name="Rectángulo: esquinas superiores cortadas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5648325" y="7019925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7</xdr:col>
      <xdr:colOff>704849</xdr:colOff>
      <xdr:row>30</xdr:row>
      <xdr:rowOff>142875</xdr:rowOff>
    </xdr:from>
    <xdr:to>
      <xdr:col>8</xdr:col>
      <xdr:colOff>971549</xdr:colOff>
      <xdr:row>33</xdr:row>
      <xdr:rowOff>66675</xdr:rowOff>
    </xdr:to>
    <xdr:sp macro="" textlink="">
      <xdr:nvSpPr>
        <xdr:cNvPr id="3" name="Rectángulo: esquinas superiores cortadas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8420099" y="567690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7</xdr:col>
      <xdr:colOff>704849</xdr:colOff>
      <xdr:row>27</xdr:row>
      <xdr:rowOff>152400</xdr:rowOff>
    </xdr:from>
    <xdr:to>
      <xdr:col>8</xdr:col>
      <xdr:colOff>971549</xdr:colOff>
      <xdr:row>30</xdr:row>
      <xdr:rowOff>76200</xdr:rowOff>
    </xdr:to>
    <xdr:sp macro="" textlink="">
      <xdr:nvSpPr>
        <xdr:cNvPr id="4" name="Rectángulo: esquinas superiores cortadas 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20099" y="511492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23812</xdr:colOff>
      <xdr:row>25</xdr:row>
      <xdr:rowOff>0</xdr:rowOff>
    </xdr:from>
    <xdr:to>
      <xdr:col>8</xdr:col>
      <xdr:colOff>947737</xdr:colOff>
      <xdr:row>27</xdr:row>
      <xdr:rowOff>85725</xdr:rowOff>
    </xdr:to>
    <xdr:sp macro="" textlink="">
      <xdr:nvSpPr>
        <xdr:cNvPr id="6" name="Rectángulo: esquinas superiores cortadas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8443912" y="458152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41</xdr:row>
          <xdr:rowOff>95250</xdr:rowOff>
        </xdr:from>
        <xdr:to>
          <xdr:col>3</xdr:col>
          <xdr:colOff>352425</xdr:colOff>
          <xdr:row>45</xdr:row>
          <xdr:rowOff>28575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</xdr:row>
          <xdr:rowOff>76200</xdr:rowOff>
        </xdr:from>
        <xdr:to>
          <xdr:col>6</xdr:col>
          <xdr:colOff>76200</xdr:colOff>
          <xdr:row>45</xdr:row>
          <xdr:rowOff>9525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41</xdr:row>
          <xdr:rowOff>114300</xdr:rowOff>
        </xdr:from>
        <xdr:to>
          <xdr:col>3</xdr:col>
          <xdr:colOff>257175</xdr:colOff>
          <xdr:row>45</xdr:row>
          <xdr:rowOff>47625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xmlns="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HOJA ACTUAL</a:t>
              </a: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4</xdr:row>
      <xdr:rowOff>66675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4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876300</xdr:colOff>
      <xdr:row>38</xdr:row>
      <xdr:rowOff>0</xdr:rowOff>
    </xdr:from>
    <xdr:to>
      <xdr:col>1</xdr:col>
      <xdr:colOff>647700</xdr:colOff>
      <xdr:row>40</xdr:row>
      <xdr:rowOff>152400</xdr:rowOff>
    </xdr:to>
    <xdr:sp macro="" textlink="">
      <xdr:nvSpPr>
        <xdr:cNvPr id="22" name="Lágrima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876300" y="6677025"/>
          <a:ext cx="885825" cy="533400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xdr:twoCellAnchor>
    <xdr:from>
      <xdr:col>2</xdr:col>
      <xdr:colOff>1013731</xdr:colOff>
      <xdr:row>37</xdr:row>
      <xdr:rowOff>133350</xdr:rowOff>
    </xdr:from>
    <xdr:to>
      <xdr:col>3</xdr:col>
      <xdr:colOff>213631</xdr:colOff>
      <xdr:row>40</xdr:row>
      <xdr:rowOff>9525</xdr:rowOff>
    </xdr:to>
    <xdr:sp macro="" textlink="">
      <xdr:nvSpPr>
        <xdr:cNvPr id="23" name="Rectángulo: esquinas superiores cortada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3090181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3</xdr:col>
      <xdr:colOff>193220</xdr:colOff>
      <xdr:row>37</xdr:row>
      <xdr:rowOff>133350</xdr:rowOff>
    </xdr:from>
    <xdr:to>
      <xdr:col>3</xdr:col>
      <xdr:colOff>859970</xdr:colOff>
      <xdr:row>40</xdr:row>
      <xdr:rowOff>9525</xdr:rowOff>
    </xdr:to>
    <xdr:sp macro="" textlink="">
      <xdr:nvSpPr>
        <xdr:cNvPr id="24" name="Rectángulo: esquinas superiores cortada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3736520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>
    <xdr:from>
      <xdr:col>3</xdr:col>
      <xdr:colOff>839559</xdr:colOff>
      <xdr:row>37</xdr:row>
      <xdr:rowOff>133350</xdr:rowOff>
    </xdr:from>
    <xdr:to>
      <xdr:col>4</xdr:col>
      <xdr:colOff>591909</xdr:colOff>
      <xdr:row>40</xdr:row>
      <xdr:rowOff>9525</xdr:rowOff>
    </xdr:to>
    <xdr:sp macro="" textlink="">
      <xdr:nvSpPr>
        <xdr:cNvPr id="25" name="Rectángulo: esquinas superiores cortada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4382859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4</xdr:col>
      <xdr:colOff>571500</xdr:colOff>
      <xdr:row>37</xdr:row>
      <xdr:rowOff>133350</xdr:rowOff>
    </xdr:from>
    <xdr:to>
      <xdr:col>5</xdr:col>
      <xdr:colOff>57150</xdr:colOff>
      <xdr:row>40</xdr:row>
      <xdr:rowOff>9525</xdr:rowOff>
    </xdr:to>
    <xdr:sp macro="" textlink="">
      <xdr:nvSpPr>
        <xdr:cNvPr id="26" name="Rectángulo: esquinas superiores cortada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5029200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5</xdr:col>
      <xdr:colOff>76200</xdr:colOff>
      <xdr:row>37</xdr:row>
      <xdr:rowOff>133350</xdr:rowOff>
    </xdr:from>
    <xdr:to>
      <xdr:col>5</xdr:col>
      <xdr:colOff>742950</xdr:colOff>
      <xdr:row>40</xdr:row>
      <xdr:rowOff>9525</xdr:rowOff>
    </xdr:to>
    <xdr:sp macro="" textlink="">
      <xdr:nvSpPr>
        <xdr:cNvPr id="27" name="Rectángulo: esquinas superiores cortada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5715000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5</xdr:col>
      <xdr:colOff>722539</xdr:colOff>
      <xdr:row>37</xdr:row>
      <xdr:rowOff>133350</xdr:rowOff>
    </xdr:from>
    <xdr:to>
      <xdr:col>6</xdr:col>
      <xdr:colOff>560614</xdr:colOff>
      <xdr:row>40</xdr:row>
      <xdr:rowOff>9525</xdr:rowOff>
    </xdr:to>
    <xdr:sp macro="" textlink="">
      <xdr:nvSpPr>
        <xdr:cNvPr id="28" name="Rectángulo: esquinas superiores cortada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6361339" y="7000875"/>
          <a:ext cx="666750" cy="447675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1</xdr:col>
      <xdr:colOff>683078</xdr:colOff>
      <xdr:row>37</xdr:row>
      <xdr:rowOff>133350</xdr:rowOff>
    </xdr:from>
    <xdr:to>
      <xdr:col>2</xdr:col>
      <xdr:colOff>387803</xdr:colOff>
      <xdr:row>40</xdr:row>
      <xdr:rowOff>9525</xdr:rowOff>
    </xdr:to>
    <xdr:sp macro="" textlink="">
      <xdr:nvSpPr>
        <xdr:cNvPr id="29" name="Rectángulo: esquinas superiores cortada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797503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2</xdr:col>
      <xdr:colOff>367392</xdr:colOff>
      <xdr:row>37</xdr:row>
      <xdr:rowOff>133350</xdr:rowOff>
    </xdr:from>
    <xdr:to>
      <xdr:col>2</xdr:col>
      <xdr:colOff>1034142</xdr:colOff>
      <xdr:row>40</xdr:row>
      <xdr:rowOff>9525</xdr:rowOff>
    </xdr:to>
    <xdr:sp macro="" textlink="">
      <xdr:nvSpPr>
        <xdr:cNvPr id="30" name="Rectángulo: esquinas superiores cortada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2443842" y="7000875"/>
          <a:ext cx="666750" cy="44767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41</xdr:row>
          <xdr:rowOff>57150</xdr:rowOff>
        </xdr:from>
        <xdr:to>
          <xdr:col>6</xdr:col>
          <xdr:colOff>133350</xdr:colOff>
          <xdr:row>44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xmlns="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23812</xdr:colOff>
      <xdr:row>30</xdr:row>
      <xdr:rowOff>85725</xdr:rowOff>
    </xdr:from>
    <xdr:to>
      <xdr:col>8</xdr:col>
      <xdr:colOff>995362</xdr:colOff>
      <xdr:row>33</xdr:row>
      <xdr:rowOff>9525</xdr:rowOff>
    </xdr:to>
    <xdr:sp macro="" textlink="">
      <xdr:nvSpPr>
        <xdr:cNvPr id="2" name="Rectángulo: esquinas superiores cortadas 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8443912" y="5619750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CLI-5074</a:t>
          </a:r>
        </a:p>
      </xdr:txBody>
    </xdr:sp>
    <xdr:clientData/>
  </xdr:twoCellAnchor>
  <xdr:twoCellAnchor>
    <xdr:from>
      <xdr:col>8</xdr:col>
      <xdr:colOff>23812</xdr:colOff>
      <xdr:row>27</xdr:row>
      <xdr:rowOff>95250</xdr:rowOff>
    </xdr:from>
    <xdr:to>
      <xdr:col>8</xdr:col>
      <xdr:colOff>995362</xdr:colOff>
      <xdr:row>30</xdr:row>
      <xdr:rowOff>19050</xdr:rowOff>
    </xdr:to>
    <xdr:sp macro="" textlink="">
      <xdr:nvSpPr>
        <xdr:cNvPr id="3" name="Rectángulo: esquinas superiores cortadas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8443912" y="5057775"/>
          <a:ext cx="971550" cy="495300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CLI-4074</a:t>
          </a:r>
        </a:p>
      </xdr:txBody>
    </xdr:sp>
    <xdr:clientData/>
  </xdr:twoCellAnchor>
  <xdr:twoCellAnchor>
    <xdr:from>
      <xdr:col>8</xdr:col>
      <xdr:colOff>47625</xdr:colOff>
      <xdr:row>24</xdr:row>
      <xdr:rowOff>133350</xdr:rowOff>
    </xdr:from>
    <xdr:to>
      <xdr:col>8</xdr:col>
      <xdr:colOff>971550</xdr:colOff>
      <xdr:row>27</xdr:row>
      <xdr:rowOff>28575</xdr:rowOff>
    </xdr:to>
    <xdr:sp macro="" textlink="">
      <xdr:nvSpPr>
        <xdr:cNvPr id="4" name="Rectángulo: esquinas superiores cortadas 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8467725" y="4524375"/>
          <a:ext cx="923925" cy="466725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300" b="1">
              <a:solidFill>
                <a:sysClr val="windowText" lastClr="000000"/>
              </a:solidFill>
            </a:rPr>
            <a:t>CLI-3074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723900</xdr:colOff>
          <xdr:row>22</xdr:row>
          <xdr:rowOff>57150</xdr:rowOff>
        </xdr:from>
        <xdr:to>
          <xdr:col>12</xdr:col>
          <xdr:colOff>95250</xdr:colOff>
          <xdr:row>24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xmlns="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22</xdr:row>
          <xdr:rowOff>38100</xdr:rowOff>
        </xdr:from>
        <xdr:to>
          <xdr:col>13</xdr:col>
          <xdr:colOff>419100</xdr:colOff>
          <xdr:row>25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xmlns="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36635</xdr:colOff>
      <xdr:row>8</xdr:row>
      <xdr:rowOff>563374</xdr:rowOff>
    </xdr:from>
    <xdr:to>
      <xdr:col>36</xdr:col>
      <xdr:colOff>0</xdr:colOff>
      <xdr:row>11</xdr:row>
      <xdr:rowOff>38386</xdr:rowOff>
    </xdr:to>
    <xdr:sp macro="" textlink="">
      <xdr:nvSpPr>
        <xdr:cNvPr id="3" name="Rectángulo: esquinas superiores cort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8766505" y="1706374"/>
          <a:ext cx="708799" cy="419229"/>
        </a:xfrm>
        <a:prstGeom prst="snip2SameRect">
          <a:avLst>
            <a:gd name="adj1" fmla="val 16667"/>
            <a:gd name="adj2" fmla="val 1841"/>
          </a:avLst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5074</a:t>
          </a:r>
        </a:p>
      </xdr:txBody>
    </xdr:sp>
    <xdr:clientData/>
  </xdr:twoCellAnchor>
  <xdr:twoCellAnchor>
    <xdr:from>
      <xdr:col>31</xdr:col>
      <xdr:colOff>51506</xdr:colOff>
      <xdr:row>8</xdr:row>
      <xdr:rowOff>113441</xdr:rowOff>
    </xdr:from>
    <xdr:to>
      <xdr:col>35</xdr:col>
      <xdr:colOff>134216</xdr:colOff>
      <xdr:row>8</xdr:row>
      <xdr:rowOff>563374</xdr:rowOff>
    </xdr:to>
    <xdr:sp macro="" textlink="">
      <xdr:nvSpPr>
        <xdr:cNvPr id="4" name="Rectángulo: esquinas superiores cort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8781376" y="1256441"/>
          <a:ext cx="679057" cy="449933"/>
        </a:xfrm>
        <a:prstGeom prst="snip2Same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4074</a:t>
          </a:r>
        </a:p>
      </xdr:txBody>
    </xdr:sp>
    <xdr:clientData/>
  </xdr:twoCellAnchor>
  <xdr:twoCellAnchor>
    <xdr:from>
      <xdr:col>26</xdr:col>
      <xdr:colOff>53199</xdr:colOff>
      <xdr:row>5</xdr:row>
      <xdr:rowOff>157369</xdr:rowOff>
    </xdr:from>
    <xdr:to>
      <xdr:col>35</xdr:col>
      <xdr:colOff>94613</xdr:colOff>
      <xdr:row>8</xdr:row>
      <xdr:rowOff>74287</xdr:rowOff>
    </xdr:to>
    <xdr:sp macro="" textlink="">
      <xdr:nvSpPr>
        <xdr:cNvPr id="13" name="Rectángulo: esquinas superiores cortada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037634" y="770282"/>
          <a:ext cx="1383196" cy="447005"/>
        </a:xfrm>
        <a:prstGeom prst="snip2SameRect">
          <a:avLst/>
        </a:prstGeom>
        <a:solidFill>
          <a:schemeClr val="accent1"/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Menú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1048575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xmlns="" id="{00000000-0008-0000-0A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1048575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xmlns="" id="{00000000-0008-0000-0A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74543</xdr:colOff>
      <xdr:row>8</xdr:row>
      <xdr:rowOff>573570</xdr:rowOff>
    </xdr:from>
    <xdr:to>
      <xdr:col>30</xdr:col>
      <xdr:colOff>140804</xdr:colOff>
      <xdr:row>11</xdr:row>
      <xdr:rowOff>73715</xdr:rowOff>
    </xdr:to>
    <xdr:sp macro="" textlink="">
      <xdr:nvSpPr>
        <xdr:cNvPr id="2" name="Rectángulo: esquinas superiores cortadas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8100391" y="2064440"/>
          <a:ext cx="662609" cy="444362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26</xdr:col>
      <xdr:colOff>74543</xdr:colOff>
      <xdr:row>8</xdr:row>
      <xdr:rowOff>115956</xdr:rowOff>
    </xdr:from>
    <xdr:to>
      <xdr:col>30</xdr:col>
      <xdr:colOff>140804</xdr:colOff>
      <xdr:row>8</xdr:row>
      <xdr:rowOff>557005</xdr:rowOff>
    </xdr:to>
    <xdr:sp macro="" textlink="">
      <xdr:nvSpPr>
        <xdr:cNvPr id="14" name="Rectángulo: esquinas superiores cortada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8100391" y="1606826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26</xdr:col>
      <xdr:colOff>91108</xdr:colOff>
      <xdr:row>25</xdr:row>
      <xdr:rowOff>14494</xdr:rowOff>
    </xdr:from>
    <xdr:to>
      <xdr:col>31</xdr:col>
      <xdr:colOff>8282</xdr:colOff>
      <xdr:row>27</xdr:row>
      <xdr:rowOff>124238</xdr:rowOff>
    </xdr:to>
    <xdr:sp macro="" textlink="">
      <xdr:nvSpPr>
        <xdr:cNvPr id="15" name="Rectángulo: esquinas superiores cortada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8116956" y="4768711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26</xdr:col>
      <xdr:colOff>91108</xdr:colOff>
      <xdr:row>22</xdr:row>
      <xdr:rowOff>70401</xdr:rowOff>
    </xdr:from>
    <xdr:to>
      <xdr:col>31</xdr:col>
      <xdr:colOff>8282</xdr:colOff>
      <xdr:row>25</xdr:row>
      <xdr:rowOff>14494</xdr:rowOff>
    </xdr:to>
    <xdr:sp macro="" textlink="">
      <xdr:nvSpPr>
        <xdr:cNvPr id="16" name="Rectángulo: esquinas superiores cortada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8116956" y="4327662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26</xdr:col>
      <xdr:colOff>74543</xdr:colOff>
      <xdr:row>19</xdr:row>
      <xdr:rowOff>96493</xdr:rowOff>
    </xdr:from>
    <xdr:to>
      <xdr:col>30</xdr:col>
      <xdr:colOff>140804</xdr:colOff>
      <xdr:row>22</xdr:row>
      <xdr:rowOff>48039</xdr:rowOff>
    </xdr:to>
    <xdr:sp macro="" textlink="">
      <xdr:nvSpPr>
        <xdr:cNvPr id="17" name="Rectángulo: esquinas superiores cortada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8100391" y="3856797"/>
          <a:ext cx="662609" cy="448503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26</xdr:col>
      <xdr:colOff>74543</xdr:colOff>
      <xdr:row>16</xdr:row>
      <xdr:rowOff>137077</xdr:rowOff>
    </xdr:from>
    <xdr:to>
      <xdr:col>30</xdr:col>
      <xdr:colOff>140804</xdr:colOff>
      <xdr:row>19</xdr:row>
      <xdr:rowOff>88210</xdr:rowOff>
    </xdr:to>
    <xdr:sp macro="" textlink="">
      <xdr:nvSpPr>
        <xdr:cNvPr id="18" name="Rectángulo: esquinas superiores cortadas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8100391" y="3400425"/>
          <a:ext cx="662609" cy="44808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26</xdr:col>
      <xdr:colOff>74543</xdr:colOff>
      <xdr:row>11</xdr:row>
      <xdr:rowOff>79927</xdr:rowOff>
    </xdr:from>
    <xdr:to>
      <xdr:col>30</xdr:col>
      <xdr:colOff>140804</xdr:colOff>
      <xdr:row>14</xdr:row>
      <xdr:rowOff>24020</xdr:rowOff>
    </xdr:to>
    <xdr:sp macro="" textlink="">
      <xdr:nvSpPr>
        <xdr:cNvPr id="19" name="Rectángulo: esquinas superiores cortadas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8100391" y="2515014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26</xdr:col>
      <xdr:colOff>74543</xdr:colOff>
      <xdr:row>14</xdr:row>
      <xdr:rowOff>24020</xdr:rowOff>
    </xdr:from>
    <xdr:to>
      <xdr:col>30</xdr:col>
      <xdr:colOff>140804</xdr:colOff>
      <xdr:row>16</xdr:row>
      <xdr:rowOff>137077</xdr:rowOff>
    </xdr:to>
    <xdr:sp macro="" textlink="">
      <xdr:nvSpPr>
        <xdr:cNvPr id="20" name="Rectángulo: esquinas superiores cortadas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8100391" y="2956063"/>
          <a:ext cx="662609" cy="444362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149088</xdr:colOff>
      <xdr:row>11</xdr:row>
      <xdr:rowOff>22934</xdr:rowOff>
    </xdr:from>
    <xdr:to>
      <xdr:col>35</xdr:col>
      <xdr:colOff>163168</xdr:colOff>
      <xdr:row>13</xdr:row>
      <xdr:rowOff>146760</xdr:rowOff>
    </xdr:to>
    <xdr:sp macro="" textlink="">
      <xdr:nvSpPr>
        <xdr:cNvPr id="3" name="Rectángulo: esquinas superiores cort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727675" y="2010760"/>
          <a:ext cx="676689" cy="455130"/>
        </a:xfrm>
        <a:prstGeom prst="snip2Same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5074</a:t>
          </a:r>
        </a:p>
      </xdr:txBody>
    </xdr:sp>
    <xdr:clientData/>
  </xdr:twoCellAnchor>
  <xdr:twoCellAnchor>
    <xdr:from>
      <xdr:col>31</xdr:col>
      <xdr:colOff>149088</xdr:colOff>
      <xdr:row>8</xdr:row>
      <xdr:rowOff>39499</xdr:rowOff>
    </xdr:from>
    <xdr:to>
      <xdr:col>35</xdr:col>
      <xdr:colOff>157370</xdr:colOff>
      <xdr:row>10</xdr:row>
      <xdr:rowOff>163325</xdr:rowOff>
    </xdr:to>
    <xdr:sp macro="" textlink="">
      <xdr:nvSpPr>
        <xdr:cNvPr id="4" name="Rectángulo: esquinas superiores cort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7727675" y="1530369"/>
          <a:ext cx="670891" cy="455130"/>
        </a:xfrm>
        <a:prstGeom prst="snip2Same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3074</a:t>
          </a:r>
        </a:p>
      </xdr:txBody>
    </xdr:sp>
    <xdr:clientData/>
  </xdr:twoCellAnchor>
  <xdr:twoCellAnchor>
    <xdr:from>
      <xdr:col>27</xdr:col>
      <xdr:colOff>107674</xdr:colOff>
      <xdr:row>10</xdr:row>
      <xdr:rowOff>161668</xdr:rowOff>
    </xdr:from>
    <xdr:to>
      <xdr:col>31</xdr:col>
      <xdr:colOff>107674</xdr:colOff>
      <xdr:row>13</xdr:row>
      <xdr:rowOff>109074</xdr:rowOff>
    </xdr:to>
    <xdr:sp macro="" textlink="">
      <xdr:nvSpPr>
        <xdr:cNvPr id="5" name="Rectángulo: esquinas superiores cortada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048500" y="1942429"/>
          <a:ext cx="662609" cy="444362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27</xdr:col>
      <xdr:colOff>107674</xdr:colOff>
      <xdr:row>8</xdr:row>
      <xdr:rowOff>35358</xdr:rowOff>
    </xdr:from>
    <xdr:to>
      <xdr:col>31</xdr:col>
      <xdr:colOff>107674</xdr:colOff>
      <xdr:row>10</xdr:row>
      <xdr:rowOff>145103</xdr:rowOff>
    </xdr:to>
    <xdr:sp macro="" textlink="">
      <xdr:nvSpPr>
        <xdr:cNvPr id="6" name="Rectángulo: esquinas superiores cort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7048500" y="1484815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27</xdr:col>
      <xdr:colOff>124239</xdr:colOff>
      <xdr:row>27</xdr:row>
      <xdr:rowOff>49852</xdr:rowOff>
    </xdr:from>
    <xdr:to>
      <xdr:col>31</xdr:col>
      <xdr:colOff>124239</xdr:colOff>
      <xdr:row>29</xdr:row>
      <xdr:rowOff>159597</xdr:rowOff>
    </xdr:to>
    <xdr:sp macro="" textlink="">
      <xdr:nvSpPr>
        <xdr:cNvPr id="7" name="Rectángulo: esquinas superiores cort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7065065" y="4646700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27</xdr:col>
      <xdr:colOff>124239</xdr:colOff>
      <xdr:row>24</xdr:row>
      <xdr:rowOff>105760</xdr:rowOff>
    </xdr:from>
    <xdr:to>
      <xdr:col>31</xdr:col>
      <xdr:colOff>124239</xdr:colOff>
      <xdr:row>27</xdr:row>
      <xdr:rowOff>49852</xdr:rowOff>
    </xdr:to>
    <xdr:sp macro="" textlink="">
      <xdr:nvSpPr>
        <xdr:cNvPr id="8" name="Rectángulo: esquinas superiores cort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7065065" y="4205651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27</xdr:col>
      <xdr:colOff>107674</xdr:colOff>
      <xdr:row>21</xdr:row>
      <xdr:rowOff>131851</xdr:rowOff>
    </xdr:from>
    <xdr:to>
      <xdr:col>31</xdr:col>
      <xdr:colOff>107674</xdr:colOff>
      <xdr:row>24</xdr:row>
      <xdr:rowOff>83398</xdr:rowOff>
    </xdr:to>
    <xdr:sp macro="" textlink="">
      <xdr:nvSpPr>
        <xdr:cNvPr id="9" name="Rectángulo: esquinas superiores cort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7048500" y="3734786"/>
          <a:ext cx="662609" cy="448503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27</xdr:col>
      <xdr:colOff>107674</xdr:colOff>
      <xdr:row>19</xdr:row>
      <xdr:rowOff>6784</xdr:rowOff>
    </xdr:from>
    <xdr:to>
      <xdr:col>31</xdr:col>
      <xdr:colOff>107674</xdr:colOff>
      <xdr:row>21</xdr:row>
      <xdr:rowOff>123568</xdr:rowOff>
    </xdr:to>
    <xdr:sp macro="" textlink="">
      <xdr:nvSpPr>
        <xdr:cNvPr id="10" name="Rectángulo: esquinas superiores cortada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7048500" y="3278414"/>
          <a:ext cx="662609" cy="44808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27</xdr:col>
      <xdr:colOff>107674</xdr:colOff>
      <xdr:row>13</xdr:row>
      <xdr:rowOff>115286</xdr:rowOff>
    </xdr:from>
    <xdr:to>
      <xdr:col>31</xdr:col>
      <xdr:colOff>107674</xdr:colOff>
      <xdr:row>16</xdr:row>
      <xdr:rowOff>59378</xdr:rowOff>
    </xdr:to>
    <xdr:sp macro="" textlink="">
      <xdr:nvSpPr>
        <xdr:cNvPr id="11" name="Rectángulo: esquinas superiores cortada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048500" y="2393003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27</xdr:col>
      <xdr:colOff>107674</xdr:colOff>
      <xdr:row>16</xdr:row>
      <xdr:rowOff>59378</xdr:rowOff>
    </xdr:from>
    <xdr:to>
      <xdr:col>31</xdr:col>
      <xdr:colOff>107674</xdr:colOff>
      <xdr:row>19</xdr:row>
      <xdr:rowOff>6784</xdr:rowOff>
    </xdr:to>
    <xdr:sp macro="" textlink="">
      <xdr:nvSpPr>
        <xdr:cNvPr id="12" name="Rectángulo: esquinas superiores cortada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7048500" y="2834052"/>
          <a:ext cx="662609" cy="444362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  <xdr:twoCellAnchor>
    <xdr:from>
      <xdr:col>27</xdr:col>
      <xdr:colOff>107674</xdr:colOff>
      <xdr:row>6</xdr:row>
      <xdr:rowOff>8283</xdr:rowOff>
    </xdr:from>
    <xdr:to>
      <xdr:col>36</xdr:col>
      <xdr:colOff>33131</xdr:colOff>
      <xdr:row>7</xdr:row>
      <xdr:rowOff>289635</xdr:rowOff>
    </xdr:to>
    <xdr:sp macro="" textlink="">
      <xdr:nvSpPr>
        <xdr:cNvPr id="13" name="Rectángulo: esquinas superiores cortada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7023652" y="1035326"/>
          <a:ext cx="1416327" cy="447005"/>
        </a:xfrm>
        <a:prstGeom prst="snip2SameRect">
          <a:avLst/>
        </a:prstGeom>
        <a:solidFill>
          <a:schemeClr val="accent1"/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Menú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793061</xdr:colOff>
      <xdr:row>10</xdr:row>
      <xdr:rowOff>68649</xdr:rowOff>
    </xdr:from>
    <xdr:to>
      <xdr:col>51</xdr:col>
      <xdr:colOff>606702</xdr:colOff>
      <xdr:row>12</xdr:row>
      <xdr:rowOff>51351</xdr:rowOff>
    </xdr:to>
    <xdr:sp macro="" textlink="">
      <xdr:nvSpPr>
        <xdr:cNvPr id="3" name="Rectángulo: esquinas superiores cort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10270436" y="2011749"/>
          <a:ext cx="670891" cy="439902"/>
        </a:xfrm>
        <a:prstGeom prst="snip2Same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4074</a:t>
          </a:r>
        </a:p>
      </xdr:txBody>
    </xdr:sp>
    <xdr:clientData/>
  </xdr:twoCellAnchor>
  <xdr:twoCellAnchor>
    <xdr:from>
      <xdr:col>50</xdr:col>
      <xdr:colOff>793061</xdr:colOff>
      <xdr:row>8</xdr:row>
      <xdr:rowOff>71475</xdr:rowOff>
    </xdr:from>
    <xdr:to>
      <xdr:col>51</xdr:col>
      <xdr:colOff>606702</xdr:colOff>
      <xdr:row>10</xdr:row>
      <xdr:rowOff>62523</xdr:rowOff>
    </xdr:to>
    <xdr:sp macro="" textlink="">
      <xdr:nvSpPr>
        <xdr:cNvPr id="4" name="Rectángulo: esquinas superiores cort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10270436" y="1576425"/>
          <a:ext cx="670891" cy="429198"/>
        </a:xfrm>
        <a:prstGeom prst="snip2Same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3074</a:t>
          </a:r>
        </a:p>
      </xdr:txBody>
    </xdr:sp>
    <xdr:clientData/>
  </xdr:twoCellAnchor>
  <xdr:twoCellAnchor>
    <xdr:from>
      <xdr:col>50</xdr:col>
      <xdr:colOff>47625</xdr:colOff>
      <xdr:row>5</xdr:row>
      <xdr:rowOff>86395</xdr:rowOff>
    </xdr:from>
    <xdr:to>
      <xdr:col>51</xdr:col>
      <xdr:colOff>606702</xdr:colOff>
      <xdr:row>8</xdr:row>
      <xdr:rowOff>0</xdr:rowOff>
    </xdr:to>
    <xdr:sp macro="" textlink="">
      <xdr:nvSpPr>
        <xdr:cNvPr id="15" name="Rectángulo: esquinas superiores cortada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9525000" y="1057945"/>
          <a:ext cx="1416327" cy="447005"/>
        </a:xfrm>
        <a:prstGeom prst="snip2SameRect">
          <a:avLst/>
        </a:prstGeom>
        <a:solidFill>
          <a:schemeClr val="accent1"/>
        </a:solidFill>
        <a:ln w="28575">
          <a:solidFill>
            <a:schemeClr val="bg2">
              <a:lumMod val="5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Menú</a:t>
          </a:r>
        </a:p>
      </xdr:txBody>
    </xdr:sp>
    <xdr:clientData/>
  </xdr:twoCellAnchor>
  <xdr:twoCellAnchor>
    <xdr:from>
      <xdr:col>50</xdr:col>
      <xdr:colOff>85725</xdr:colOff>
      <xdr:row>10</xdr:row>
      <xdr:rowOff>105189</xdr:rowOff>
    </xdr:from>
    <xdr:to>
      <xdr:col>50</xdr:col>
      <xdr:colOff>748334</xdr:colOff>
      <xdr:row>12</xdr:row>
      <xdr:rowOff>92351</xdr:rowOff>
    </xdr:to>
    <xdr:sp macro="" textlink="">
      <xdr:nvSpPr>
        <xdr:cNvPr id="2" name="Rectángulo: esquinas superiores cortadas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9810750" y="2143539"/>
          <a:ext cx="662609" cy="444362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0900Z</a:t>
          </a:r>
        </a:p>
      </xdr:txBody>
    </xdr:sp>
    <xdr:clientData/>
  </xdr:twoCellAnchor>
  <xdr:twoCellAnchor>
    <xdr:from>
      <xdr:col>50</xdr:col>
      <xdr:colOff>85725</xdr:colOff>
      <xdr:row>8</xdr:row>
      <xdr:rowOff>85725</xdr:rowOff>
    </xdr:from>
    <xdr:to>
      <xdr:col>50</xdr:col>
      <xdr:colOff>748334</xdr:colOff>
      <xdr:row>10</xdr:row>
      <xdr:rowOff>88624</xdr:rowOff>
    </xdr:to>
    <xdr:sp macro="" textlink="">
      <xdr:nvSpPr>
        <xdr:cNvPr id="12" name="Rectángulo: esquinas superiores cortada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9810750" y="1685925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0600Z</a:t>
          </a:r>
        </a:p>
      </xdr:txBody>
    </xdr:sp>
    <xdr:clientData/>
  </xdr:twoCellAnchor>
  <xdr:twoCellAnchor>
    <xdr:from>
      <xdr:col>50</xdr:col>
      <xdr:colOff>102290</xdr:colOff>
      <xdr:row>21</xdr:row>
      <xdr:rowOff>332960</xdr:rowOff>
    </xdr:from>
    <xdr:to>
      <xdr:col>50</xdr:col>
      <xdr:colOff>764899</xdr:colOff>
      <xdr:row>23</xdr:row>
      <xdr:rowOff>135834</xdr:rowOff>
    </xdr:to>
    <xdr:sp macro="" textlink="">
      <xdr:nvSpPr>
        <xdr:cNvPr id="14" name="Rectángulo: esquinas superiores cortada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827315" y="4847810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0300Z</a:t>
          </a:r>
        </a:p>
      </xdr:txBody>
    </xdr:sp>
    <xdr:clientData/>
  </xdr:twoCellAnchor>
  <xdr:twoCellAnchor>
    <xdr:from>
      <xdr:col>50</xdr:col>
      <xdr:colOff>102290</xdr:colOff>
      <xdr:row>20</xdr:row>
      <xdr:rowOff>120511</xdr:rowOff>
    </xdr:from>
    <xdr:to>
      <xdr:col>50</xdr:col>
      <xdr:colOff>764899</xdr:colOff>
      <xdr:row>21</xdr:row>
      <xdr:rowOff>332960</xdr:rowOff>
    </xdr:to>
    <xdr:sp macro="" textlink="">
      <xdr:nvSpPr>
        <xdr:cNvPr id="16" name="Rectángulo: esquinas superiores cortada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9827315" y="4406761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0000Z</a:t>
          </a:r>
        </a:p>
      </xdr:txBody>
    </xdr:sp>
    <xdr:clientData/>
  </xdr:twoCellAnchor>
  <xdr:twoCellAnchor>
    <xdr:from>
      <xdr:col>50</xdr:col>
      <xdr:colOff>85725</xdr:colOff>
      <xdr:row>18</xdr:row>
      <xdr:rowOff>106846</xdr:rowOff>
    </xdr:from>
    <xdr:to>
      <xdr:col>50</xdr:col>
      <xdr:colOff>748334</xdr:colOff>
      <xdr:row>20</xdr:row>
      <xdr:rowOff>98149</xdr:rowOff>
    </xdr:to>
    <xdr:sp macro="" textlink="">
      <xdr:nvSpPr>
        <xdr:cNvPr id="17" name="Rectángulo: esquinas superiores cortada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9810750" y="3935896"/>
          <a:ext cx="662609" cy="448503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2100Z</a:t>
          </a:r>
        </a:p>
      </xdr:txBody>
    </xdr:sp>
    <xdr:clientData/>
  </xdr:twoCellAnchor>
  <xdr:twoCellAnchor>
    <xdr:from>
      <xdr:col>50</xdr:col>
      <xdr:colOff>85725</xdr:colOff>
      <xdr:row>16</xdr:row>
      <xdr:rowOff>69574</xdr:rowOff>
    </xdr:from>
    <xdr:to>
      <xdr:col>50</xdr:col>
      <xdr:colOff>748334</xdr:colOff>
      <xdr:row>18</xdr:row>
      <xdr:rowOff>98563</xdr:rowOff>
    </xdr:to>
    <xdr:sp macro="" textlink="">
      <xdr:nvSpPr>
        <xdr:cNvPr id="18" name="Rectángulo: esquinas superiores cortadas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9810750" y="3479524"/>
          <a:ext cx="662609" cy="44808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1800Z</a:t>
          </a:r>
        </a:p>
      </xdr:txBody>
    </xdr:sp>
    <xdr:clientData/>
  </xdr:twoCellAnchor>
  <xdr:twoCellAnchor>
    <xdr:from>
      <xdr:col>50</xdr:col>
      <xdr:colOff>85725</xdr:colOff>
      <xdr:row>12</xdr:row>
      <xdr:rowOff>98563</xdr:rowOff>
    </xdr:from>
    <xdr:to>
      <xdr:col>50</xdr:col>
      <xdr:colOff>748334</xdr:colOff>
      <xdr:row>14</xdr:row>
      <xdr:rowOff>82412</xdr:rowOff>
    </xdr:to>
    <xdr:sp macro="" textlink="">
      <xdr:nvSpPr>
        <xdr:cNvPr id="19" name="Rectángulo: esquinas superiores cortadas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9810750" y="2594113"/>
          <a:ext cx="662609" cy="441049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1200Z</a:t>
          </a:r>
        </a:p>
      </xdr:txBody>
    </xdr:sp>
    <xdr:clientData/>
  </xdr:twoCellAnchor>
  <xdr:twoCellAnchor>
    <xdr:from>
      <xdr:col>50</xdr:col>
      <xdr:colOff>85725</xdr:colOff>
      <xdr:row>14</xdr:row>
      <xdr:rowOff>82412</xdr:rowOff>
    </xdr:from>
    <xdr:to>
      <xdr:col>50</xdr:col>
      <xdr:colOff>748334</xdr:colOff>
      <xdr:row>16</xdr:row>
      <xdr:rowOff>69574</xdr:rowOff>
    </xdr:to>
    <xdr:sp macro="" textlink="">
      <xdr:nvSpPr>
        <xdr:cNvPr id="20" name="Rectángulo: esquinas superiores cortadas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9810750" y="3035162"/>
          <a:ext cx="662609" cy="444362"/>
        </a:xfrm>
        <a:prstGeom prst="snip2SameRect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1500Z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291353</xdr:colOff>
      <xdr:row>7</xdr:row>
      <xdr:rowOff>158564</xdr:rowOff>
    </xdr:from>
    <xdr:to>
      <xdr:col>9</xdr:col>
      <xdr:colOff>526678</xdr:colOff>
      <xdr:row>13</xdr:row>
      <xdr:rowOff>136152</xdr:rowOff>
    </xdr:to>
    <xdr:sp macro="" textlink="">
      <xdr:nvSpPr>
        <xdr:cNvPr id="2" name="Lágrim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4941794" y="1525682"/>
          <a:ext cx="1580031" cy="1120588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5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15</xdr:row>
          <xdr:rowOff>57150</xdr:rowOff>
        </xdr:from>
        <xdr:to>
          <xdr:col>10</xdr:col>
          <xdr:colOff>247650</xdr:colOff>
          <xdr:row>17</xdr:row>
          <xdr:rowOff>123825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xmlns="" id="{00000000-0008-0000-0D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DO" sz="1600" b="0" i="0" u="none" strike="noStrike" baseline="0">
                  <a:solidFill>
                    <a:srgbClr val="000000"/>
                  </a:solidFill>
                  <a:latin typeface="Arial Black"/>
                </a:rPr>
                <a:t>Guardar en TXT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450215</xdr:colOff>
      <xdr:row>68</xdr:row>
      <xdr:rowOff>84455</xdr:rowOff>
    </xdr:from>
    <xdr:to>
      <xdr:col>6</xdr:col>
      <xdr:colOff>2402840</xdr:colOff>
      <xdr:row>68</xdr:row>
      <xdr:rowOff>84455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9899015" y="14362430"/>
          <a:ext cx="1952625" cy="0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3</xdr:col>
      <xdr:colOff>180976</xdr:colOff>
      <xdr:row>44</xdr:row>
      <xdr:rowOff>95250</xdr:rowOff>
    </xdr:from>
    <xdr:to>
      <xdr:col>4</xdr:col>
      <xdr:colOff>1162050</xdr:colOff>
      <xdr:row>51</xdr:row>
      <xdr:rowOff>85725</xdr:rowOff>
    </xdr:to>
    <xdr:sp macro="" textlink="">
      <xdr:nvSpPr>
        <xdr:cNvPr id="3" name="Lágrim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SpPr/>
      </xdr:nvSpPr>
      <xdr:spPr>
        <a:xfrm>
          <a:off x="3686176" y="9801225"/>
          <a:ext cx="1990724" cy="1323975"/>
        </a:xfrm>
        <a:prstGeom prst="teardrop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bliqueTopLef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3500" b="1">
              <a:solidFill>
                <a:sysClr val="windowText" lastClr="000000"/>
              </a:solidFill>
            </a:rPr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CCFFDD"/>
  </sheetPr>
  <dimension ref="A1:L27"/>
  <sheetViews>
    <sheetView showGridLines="0" showRowColHeaders="0" zoomScale="130" zoomScaleNormal="130" workbookViewId="0"/>
  </sheetViews>
  <sheetFormatPr baseColWidth="10" defaultColWidth="0" defaultRowHeight="15" zeroHeight="1" x14ac:dyDescent="0.25"/>
  <cols>
    <col min="1" max="12" width="11.42578125" customWidth="1"/>
    <col min="13" max="13" width="11.42578125" hidden="1" customWidth="1"/>
    <col min="14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</sheetData>
  <sheetProtection algorithmName="SHA-512" hashValue="ITdDjMHXtzDT3kX1JW6eFcQOKz80QVpl3PgKi47iRDyq6+4988hPWJ74htk0nu79ODP0e6YYqPtKA65JdsZhYA==" saltValue="Gcr8+GJC/Cl+EdOfwrA+Wg==" spinCount="100000"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8" tint="-0.249977111117893"/>
  </sheetPr>
  <dimension ref="A1:XFD48"/>
  <sheetViews>
    <sheetView showGridLines="0" showRowColHeaders="0" topLeftCell="A12" zoomScale="90" zoomScaleNormal="90" zoomScaleSheetLayoutView="115" workbookViewId="0">
      <selection activeCell="B6" sqref="B6:C6"/>
    </sheetView>
  </sheetViews>
  <sheetFormatPr baseColWidth="10" defaultColWidth="0" defaultRowHeight="15" zeroHeight="1" x14ac:dyDescent="0.25"/>
  <cols>
    <col min="1" max="1" width="16.7109375" customWidth="1"/>
    <col min="2" max="2" width="14.42578125" bestFit="1" customWidth="1"/>
    <col min="3" max="3" width="22" bestFit="1" customWidth="1"/>
    <col min="4" max="4" width="13.7109375" bestFit="1" customWidth="1"/>
    <col min="5" max="5" width="17.7109375" bestFit="1" customWidth="1"/>
    <col min="6" max="6" width="12.42578125" bestFit="1" customWidth="1"/>
    <col min="7" max="7" width="18.7109375" bestFit="1" customWidth="1"/>
    <col min="8" max="8" width="10.5703125" bestFit="1" customWidth="1"/>
    <col min="9" max="9" width="22.5703125" bestFit="1" customWidth="1"/>
    <col min="10" max="10" width="11.42578125" customWidth="1"/>
    <col min="11" max="16384" width="11.42578125" hidden="1"/>
  </cols>
  <sheetData>
    <row r="1" spans="1:15 16384:16384" x14ac:dyDescent="0.25">
      <c r="A1" s="1">
        <v>6</v>
      </c>
      <c r="B1" s="1"/>
      <c r="C1" s="1"/>
      <c r="D1" s="1"/>
      <c r="E1" s="1"/>
      <c r="F1" s="1"/>
      <c r="G1" s="1"/>
      <c r="H1" s="6"/>
      <c r="K1" s="39"/>
      <c r="L1" s="39"/>
      <c r="M1" s="39"/>
      <c r="N1" s="39"/>
      <c r="O1" s="39"/>
    </row>
    <row r="2" spans="1:15 16384:16384" ht="15" customHeight="1" x14ac:dyDescent="0.25">
      <c r="A2" s="1"/>
      <c r="B2" s="1"/>
      <c r="C2" s="1"/>
      <c r="D2" s="1"/>
      <c r="E2" s="1"/>
      <c r="F2" s="1"/>
      <c r="G2" s="1"/>
      <c r="H2" s="6"/>
      <c r="K2" s="39"/>
      <c r="L2" s="39"/>
      <c r="M2" s="39"/>
      <c r="N2" s="39"/>
      <c r="O2" s="39"/>
    </row>
    <row r="3" spans="1:15 16384:16384" ht="15" customHeight="1" x14ac:dyDescent="0.25">
      <c r="A3" s="1"/>
      <c r="B3" s="1"/>
      <c r="C3" s="1"/>
      <c r="D3" s="1"/>
      <c r="E3" s="1"/>
      <c r="F3" s="1"/>
      <c r="G3" s="1"/>
      <c r="H3" s="6"/>
      <c r="K3" s="39"/>
      <c r="L3" s="39"/>
      <c r="M3" s="39"/>
      <c r="N3" s="39"/>
      <c r="O3" s="39"/>
    </row>
    <row r="4" spans="1:15 16384:16384" ht="15" customHeight="1" x14ac:dyDescent="0.25">
      <c r="A4" s="1"/>
      <c r="B4" s="1"/>
      <c r="C4" s="1"/>
      <c r="D4" s="1"/>
      <c r="E4" s="1"/>
      <c r="F4" s="1"/>
      <c r="G4" s="1"/>
      <c r="H4" s="6"/>
      <c r="K4" s="39"/>
      <c r="L4" s="39"/>
      <c r="M4" s="39"/>
      <c r="N4" s="39"/>
      <c r="O4" s="39"/>
    </row>
    <row r="5" spans="1:15 16384:16384" ht="12" customHeight="1" x14ac:dyDescent="0.25">
      <c r="A5" s="1"/>
      <c r="B5" s="1"/>
      <c r="C5" s="1"/>
      <c r="D5" s="1"/>
      <c r="E5" s="1"/>
      <c r="F5" s="1"/>
      <c r="G5" s="1"/>
      <c r="H5" s="6"/>
      <c r="K5" s="39"/>
      <c r="L5" s="39"/>
      <c r="M5" s="39"/>
      <c r="N5" s="39"/>
      <c r="O5" s="39"/>
    </row>
    <row r="6" spans="1:15 16384:16384" s="38" customFormat="1" ht="18" customHeight="1" x14ac:dyDescent="0.25">
      <c r="A6" s="45" t="s">
        <v>141</v>
      </c>
      <c r="B6" s="319" t="s">
        <v>350</v>
      </c>
      <c r="C6" s="319"/>
      <c r="D6" s="1"/>
      <c r="E6" s="1"/>
      <c r="F6" s="1"/>
      <c r="G6" s="1"/>
      <c r="H6" s="44"/>
      <c r="I6" s="44"/>
      <c r="J6" s="44"/>
      <c r="K6" s="44"/>
      <c r="L6" s="44"/>
      <c r="M6" s="44"/>
      <c r="N6" s="44"/>
      <c r="O6" s="44"/>
    </row>
    <row r="7" spans="1:15 16384:16384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4"/>
      <c r="L7" s="44"/>
      <c r="M7" s="44"/>
      <c r="N7" s="44"/>
      <c r="O7" s="44"/>
      <c r="XFD7" s="44"/>
    </row>
    <row r="8" spans="1:15 16384:16384" s="38" customFormat="1" x14ac:dyDescent="0.25">
      <c r="A8" s="59" t="s">
        <v>2</v>
      </c>
      <c r="B8" s="58" t="s">
        <v>352</v>
      </c>
      <c r="C8" s="60">
        <v>78486</v>
      </c>
      <c r="D8" s="323">
        <v>46082</v>
      </c>
      <c r="E8" s="324"/>
      <c r="F8" s="324"/>
      <c r="G8" s="325"/>
      <c r="H8" s="44"/>
      <c r="I8" s="44"/>
      <c r="K8" s="44" t="s">
        <v>173</v>
      </c>
      <c r="L8" s="44" t="s">
        <v>174</v>
      </c>
      <c r="M8" s="44" t="s">
        <v>175</v>
      </c>
      <c r="N8" s="44" t="s">
        <v>176</v>
      </c>
      <c r="O8" s="44"/>
    </row>
    <row r="9" spans="1:15 16384:16384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54">
        <v>0</v>
      </c>
      <c r="L9" s="54">
        <v>0</v>
      </c>
      <c r="M9" s="54">
        <v>82816</v>
      </c>
      <c r="N9" s="54">
        <v>0</v>
      </c>
      <c r="O9" s="44"/>
    </row>
    <row r="10" spans="1:15 16384:16384" s="38" customFormat="1" x14ac:dyDescent="0.25">
      <c r="A10" s="58" t="s">
        <v>354</v>
      </c>
      <c r="B10" s="58" t="s">
        <v>355</v>
      </c>
      <c r="C10" s="83" t="str">
        <f>IF(A29="",1,IF(A29&gt;0,10&amp;A29*10,11&amp;ABS(A29)*10))</f>
        <v>10244</v>
      </c>
      <c r="D10" s="83" t="str">
        <f>IF(B29="",2,IF(B29&gt;0,20&amp;ROUND(B29*10,0),21&amp;ROUND(ABS(B29)*10,0)))</f>
        <v>20210</v>
      </c>
      <c r="E10" s="84" t="str">
        <f>IF(C31="",4,IF(AND(C37&lt;1000,C37&gt;800),4&amp;C37*10,40&amp;TEXT((C37-INT(C37/1000)*1000)*10,"000")))</f>
        <v>40158</v>
      </c>
      <c r="F10" s="58" t="s">
        <v>356</v>
      </c>
      <c r="G10" s="58"/>
      <c r="H10" s="44"/>
      <c r="I10" s="44"/>
      <c r="J10" s="44"/>
      <c r="K10" s="54" t="str">
        <f>IFERROR(INDEX(FORMULAS!$P$30:$P$50, MATCH(VALUE(MID($K$9,4,2)), FORMULAS!$Q$30:$Q$50, 0)), "")</f>
        <v/>
      </c>
      <c r="L10" s="54" t="str">
        <f>IFERROR(INDEX(FORMULAS!$N$30:$N$42, MATCH(VALUE(MID($L$9,4,2)), FORMULAS!$O$30:$O$42, 0)), "")</f>
        <v/>
      </c>
      <c r="M10" s="54">
        <f>IFERROR(INDEX(FORMULAS!$L$30:$L$77, MATCH(VALUE(MID($M$9,4,2)), FORMULAS!$M$30:$M$77, 0)), "")</f>
        <v>488</v>
      </c>
      <c r="N10" s="54" t="str">
        <f>IFERROR(INDEX(FORMULAS!$L$30:$L$77, MATCH(VALUE(MID($N$9,4,2)), FORMULAS!$M$30:$M$77, 0)), "")</f>
        <v/>
      </c>
      <c r="O10" s="44"/>
    </row>
    <row r="11" spans="1:15 16384:16384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4"/>
      <c r="L11" s="44"/>
      <c r="M11" s="44"/>
      <c r="N11" s="44"/>
      <c r="O11" s="44"/>
    </row>
    <row r="12" spans="1:15 16384:16384" s="38" customFormat="1" x14ac:dyDescent="0.25">
      <c r="A12" s="58" t="s">
        <v>357</v>
      </c>
      <c r="B12" s="58" t="s">
        <v>37</v>
      </c>
      <c r="C12" s="58"/>
      <c r="D12" s="58" t="s">
        <v>358</v>
      </c>
      <c r="E12" s="58" t="s">
        <v>359</v>
      </c>
      <c r="F12" s="58" t="s">
        <v>360</v>
      </c>
      <c r="G12" s="58"/>
      <c r="H12" s="44"/>
      <c r="I12" s="44"/>
      <c r="J12" s="44"/>
      <c r="K12" s="55" t="s">
        <v>361</v>
      </c>
      <c r="L12" s="56"/>
      <c r="M12" s="44"/>
      <c r="N12" s="44"/>
      <c r="O12" s="44"/>
    </row>
    <row r="13" spans="1:15 16384:16384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4"/>
      <c r="L13" s="44"/>
      <c r="M13" s="44"/>
      <c r="N13" s="44"/>
      <c r="O13" s="44"/>
    </row>
    <row r="14" spans="1:15 16384:16384" s="38" customFormat="1" x14ac:dyDescent="0.25">
      <c r="A14" s="58"/>
      <c r="B14" s="58" t="s">
        <v>361</v>
      </c>
      <c r="C14" s="83" t="str">
        <f>IF(E33=0, "58",IF(E37 &gt;= 0, CONCATENATE("58",TEXT(ABS(E37*10),"000")),CONCATENATE("59",TEXT(ABS(E37)*10,"000"))))</f>
        <v>58006</v>
      </c>
      <c r="D14" s="58"/>
      <c r="E14" s="58" t="s">
        <v>18</v>
      </c>
      <c r="F14" s="58" t="s">
        <v>362</v>
      </c>
      <c r="G14" s="58" t="s">
        <v>172</v>
      </c>
      <c r="H14" s="44"/>
      <c r="I14" s="44"/>
      <c r="J14" s="44"/>
      <c r="K14" s="44"/>
      <c r="L14" s="44"/>
      <c r="M14" s="44"/>
      <c r="N14" s="44"/>
      <c r="O14" s="44"/>
    </row>
    <row r="15" spans="1:15 16384:16384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4"/>
      <c r="L15" s="44"/>
      <c r="M15" s="44"/>
      <c r="N15" s="44"/>
      <c r="O15" s="44"/>
    </row>
    <row r="16" spans="1:15 16384:16384" s="38" customFormat="1" x14ac:dyDescent="0.25">
      <c r="A16" s="58" t="s">
        <v>172</v>
      </c>
      <c r="B16" s="58" t="s">
        <v>172</v>
      </c>
      <c r="C16" s="58" t="s">
        <v>363</v>
      </c>
      <c r="D16" s="58" t="s">
        <v>364</v>
      </c>
      <c r="E16" s="58" t="s">
        <v>365</v>
      </c>
      <c r="F16" s="58" t="s">
        <v>226</v>
      </c>
      <c r="G16" s="58" t="s">
        <v>19</v>
      </c>
      <c r="H16" s="44"/>
      <c r="I16" s="44"/>
      <c r="J16" s="44"/>
      <c r="K16" s="44"/>
      <c r="L16" s="44"/>
      <c r="M16" s="44"/>
      <c r="N16" s="44"/>
      <c r="O16" s="44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4"/>
      <c r="L17" s="44"/>
      <c r="M17" s="44"/>
      <c r="N17" s="44"/>
      <c r="O17" s="44"/>
    </row>
    <row r="18" spans="1:15" s="38" customFormat="1" x14ac:dyDescent="0.25">
      <c r="A18" s="58" t="s">
        <v>19</v>
      </c>
      <c r="B18" s="58" t="s">
        <v>19</v>
      </c>
      <c r="C18" s="58" t="s">
        <v>19</v>
      </c>
      <c r="D18" s="58" t="s">
        <v>226</v>
      </c>
      <c r="E18" s="58" t="s">
        <v>19</v>
      </c>
      <c r="F18" s="58" t="s">
        <v>19</v>
      </c>
      <c r="G18" s="58" t="s">
        <v>19</v>
      </c>
      <c r="H18" s="44"/>
      <c r="I18" s="44"/>
      <c r="J18" s="44"/>
      <c r="K18" s="44"/>
      <c r="L18" s="44"/>
      <c r="M18" s="44"/>
      <c r="N18" s="44"/>
      <c r="O18" s="44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4"/>
      <c r="I19" s="44"/>
      <c r="J19" s="44"/>
      <c r="K19" s="44"/>
      <c r="L19" s="44"/>
      <c r="M19" s="44"/>
      <c r="N19" s="44"/>
      <c r="O19" s="44"/>
    </row>
    <row r="20" spans="1:15" s="38" customFormat="1" x14ac:dyDescent="0.25">
      <c r="A20" s="58" t="s">
        <v>19</v>
      </c>
      <c r="B20" s="58" t="s">
        <v>19</v>
      </c>
      <c r="C20" s="58" t="s">
        <v>19</v>
      </c>
      <c r="D20" s="58" t="s">
        <v>19</v>
      </c>
      <c r="E20" s="58" t="s">
        <v>19</v>
      </c>
      <c r="F20" s="58" t="s">
        <v>19</v>
      </c>
      <c r="G20" s="58" t="s">
        <v>19</v>
      </c>
      <c r="H20" s="41"/>
      <c r="I20"/>
      <c r="J20"/>
      <c r="K20" s="44"/>
      <c r="L20" s="44"/>
      <c r="M20" s="44"/>
      <c r="N20" s="44"/>
      <c r="O20" s="44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4"/>
      <c r="L21" s="44"/>
      <c r="M21" s="44"/>
      <c r="N21" s="44"/>
      <c r="O21" s="44"/>
    </row>
    <row r="22" spans="1:15" s="38" customFormat="1" x14ac:dyDescent="0.25">
      <c r="A22" s="58" t="s">
        <v>19</v>
      </c>
      <c r="B22" s="58" t="s">
        <v>19</v>
      </c>
      <c r="C22" s="58" t="s">
        <v>19</v>
      </c>
      <c r="D22" s="58" t="s">
        <v>21</v>
      </c>
      <c r="E22" s="58" t="s">
        <v>21</v>
      </c>
      <c r="F22" s="58" t="s">
        <v>22</v>
      </c>
      <c r="G22" s="83" t="str">
        <f>IF(B37=100,"29100",290&amp;TEXT(B37,0))</f>
        <v>29081</v>
      </c>
      <c r="H22" s="41"/>
      <c r="K22" s="41"/>
      <c r="L22" s="41"/>
      <c r="M22" s="41"/>
      <c r="N22" s="41"/>
      <c r="O22" s="41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1"/>
      <c r="L23" s="41"/>
      <c r="M23" s="41"/>
      <c r="N23" s="41"/>
      <c r="O23" s="41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1"/>
      <c r="L24" s="41"/>
      <c r="M24" s="41"/>
      <c r="N24" s="41"/>
      <c r="O24" s="41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1"/>
      <c r="L25" s="41"/>
      <c r="M25" s="41"/>
      <c r="N25" s="41"/>
      <c r="O25" s="41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26.428285124166099</v>
      </c>
      <c r="K26" s="41"/>
      <c r="L26" s="41"/>
      <c r="M26" s="41"/>
      <c r="N26" s="41"/>
      <c r="O26" s="41"/>
    </row>
    <row r="27" spans="1:15" s="38" customFormat="1" x14ac:dyDescent="0.25">
      <c r="A27" s="317"/>
      <c r="B27" s="317"/>
      <c r="C27" s="58"/>
      <c r="D27" s="317"/>
      <c r="E27" s="317"/>
      <c r="F27" s="317"/>
      <c r="G27" s="317"/>
      <c r="H27" s="47">
        <f>0.00066*1000*(1+0.00115*A33)</f>
        <v>0.67669800000000013</v>
      </c>
      <c r="K27" s="41"/>
      <c r="L27" s="41"/>
      <c r="M27" s="41"/>
      <c r="N27" s="41"/>
      <c r="O27" s="41"/>
    </row>
    <row r="28" spans="1:15" s="38" customFormat="1" x14ac:dyDescent="0.25">
      <c r="A28" s="318"/>
      <c r="B28" s="318"/>
      <c r="C28" s="33" t="s">
        <v>43</v>
      </c>
      <c r="D28" s="318"/>
      <c r="E28" s="318"/>
      <c r="F28" s="318"/>
      <c r="G28" s="318"/>
      <c r="H28" s="46">
        <f>6.112*EXP((17.67*A29)/(A29+243.5))</f>
        <v>30.557671101779331</v>
      </c>
      <c r="K28" s="41"/>
      <c r="L28" s="41"/>
      <c r="M28" s="41"/>
      <c r="N28" s="41"/>
      <c r="O28" s="41"/>
    </row>
    <row r="29" spans="1:15" s="38" customFormat="1" x14ac:dyDescent="0.25">
      <c r="A29" s="58" t="s">
        <v>353</v>
      </c>
      <c r="B29" s="62">
        <f xml:space="preserve"> IFERROR((A29 - (14.55 + 0.114 * A29) * (1 - (0.01 * B37)) - ((2.5 + 0.007 * A29) * (1 - (0.01 * B37))) ^ 3 - (15.9 + 0.117 *A29) * (1 - (0.01 * B37)) ^ 14),"")</f>
        <v>21.009610582951122</v>
      </c>
      <c r="C29" s="58"/>
      <c r="D29" s="61">
        <v>15</v>
      </c>
      <c r="E29" s="61">
        <v>13.6</v>
      </c>
      <c r="F29" s="58" t="s">
        <v>366</v>
      </c>
      <c r="G29" s="58"/>
      <c r="H29" s="41"/>
      <c r="K29" s="41"/>
      <c r="L29" s="41"/>
      <c r="M29" s="41"/>
      <c r="N29" s="41"/>
      <c r="O29" s="41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1"/>
      <c r="L30" s="41"/>
      <c r="M30" s="41"/>
      <c r="N30" s="41"/>
      <c r="O30" s="41"/>
    </row>
    <row r="31" spans="1:15" s="38" customFormat="1" x14ac:dyDescent="0.25">
      <c r="A31" s="317"/>
      <c r="B31" s="317"/>
      <c r="C31" s="61">
        <v>14.2</v>
      </c>
      <c r="D31" s="317"/>
      <c r="E31" s="317"/>
      <c r="F31" s="317"/>
      <c r="G31" s="317"/>
      <c r="H31" s="41"/>
      <c r="K31" s="41"/>
      <c r="L31" s="41"/>
      <c r="M31" s="41"/>
      <c r="N31" s="41"/>
      <c r="O31" s="41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1"/>
      <c r="L32" s="41"/>
      <c r="M32" s="41"/>
      <c r="N32" s="41"/>
      <c r="O32" s="41"/>
    </row>
    <row r="33" spans="1:15" s="38" customFormat="1" x14ac:dyDescent="0.25">
      <c r="A33" s="61">
        <v>22</v>
      </c>
      <c r="B33" s="62">
        <f>IF(ROUND(H26-H27*(A29-A33), 1) = 6.1, "  ", H26-H27*(A29-A33))</f>
        <v>24.804209924166098</v>
      </c>
      <c r="C33" s="62">
        <f>IF(C8="","",VLOOKUP(C8,FORMULAS!O:T,3,FALSE))</f>
        <v>1.6</v>
      </c>
      <c r="D33" s="62">
        <f>C31</f>
        <v>14.2</v>
      </c>
      <c r="E33" s="62">
        <f>C31</f>
        <v>14.2</v>
      </c>
      <c r="F33" s="63">
        <v>24.3</v>
      </c>
      <c r="G33" s="63"/>
      <c r="H33" s="41">
        <f>IFERROR(VLOOKUP(VALUE(RIGHT(A10, 2)), FORMULAS!$S$30:$T$70, 2, FALSE), IFERROR(VLOOKUP(VALUE(RIGHT(A10, 2)), FORMULAS!$U$30:$V$64, 2, FALSE), " "))</f>
        <v>160</v>
      </c>
      <c r="K33" s="41"/>
      <c r="L33" s="41"/>
      <c r="M33" s="41"/>
      <c r="N33" s="41"/>
      <c r="O33" s="41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2.3999999999999986</v>
      </c>
      <c r="B37" s="64">
        <f>IFERROR((B33/H28)*100, "")</f>
        <v>81.171794282195094</v>
      </c>
      <c r="C37" s="62">
        <f>IFERROR(SUM(C31) + (C33), " ")</f>
        <v>15.799999999999999</v>
      </c>
      <c r="D37" s="62">
        <f>SUM(D33 - D29 )</f>
        <v>-0.80000000000000071</v>
      </c>
      <c r="E37" s="62">
        <f>SUM(E33 - E29)</f>
        <v>0.59999999999999964</v>
      </c>
      <c r="F37" s="58" t="s">
        <v>367</v>
      </c>
      <c r="G37" s="58"/>
      <c r="I37" s="58" t="s">
        <v>172</v>
      </c>
      <c r="J37" s="58">
        <v>8</v>
      </c>
      <c r="K37" s="41"/>
      <c r="L37" s="41"/>
      <c r="M37" s="41"/>
      <c r="N37" s="41"/>
      <c r="O37" s="41"/>
    </row>
    <row r="38" spans="1:15" s="38" customFormat="1" x14ac:dyDescent="0.25">
      <c r="A38"/>
      <c r="B38"/>
      <c r="C38"/>
      <c r="D38"/>
      <c r="E38"/>
      <c r="F38"/>
      <c r="G38"/>
      <c r="K38" s="41"/>
      <c r="L38" s="41"/>
      <c r="M38" s="41"/>
      <c r="N38" s="41"/>
      <c r="O38" s="41"/>
    </row>
    <row r="39" spans="1:15" x14ac:dyDescent="0.25">
      <c r="H39" s="38"/>
      <c r="I39" s="38"/>
    </row>
    <row r="40" spans="1:15" x14ac:dyDescent="0.25">
      <c r="H40" s="38"/>
      <c r="I40" s="38"/>
    </row>
    <row r="41" spans="1:15" x14ac:dyDescent="0.25"/>
    <row r="42" spans="1:15" x14ac:dyDescent="0.25"/>
    <row r="43" spans="1:15" x14ac:dyDescent="0.25"/>
    <row r="44" spans="1:15" x14ac:dyDescent="0.25"/>
    <row r="45" spans="1:15" x14ac:dyDescent="0.25"/>
    <row r="46" spans="1:15" x14ac:dyDescent="0.25"/>
    <row r="47" spans="1:15" x14ac:dyDescent="0.25"/>
    <row r="48" spans="1:15" x14ac:dyDescent="0.25"/>
  </sheetData>
  <sheetProtection algorithmName="SHA-512" hashValue="obxUYoM0RaJaThjNyFsOdLlxBFn9L4hmVzw+MKcVpwBN/d1U5bDewvbYOGPanydfkxtVUXArT/XFZSeNoK0jmA==" saltValue="OfZnycISw9btX7urt8cf8w==" spinCount="100000" sheet="1" formatCells="0" selectLockedCells="1"/>
  <mergeCells count="29">
    <mergeCell ref="A34:A36"/>
    <mergeCell ref="B34:B36"/>
    <mergeCell ref="C34:C36"/>
    <mergeCell ref="E34:E36"/>
    <mergeCell ref="D8:G8"/>
    <mergeCell ref="A26:A28"/>
    <mergeCell ref="B26:B28"/>
    <mergeCell ref="A30:A32"/>
    <mergeCell ref="B30:B32"/>
    <mergeCell ref="A24:B25"/>
    <mergeCell ref="C24:C25"/>
    <mergeCell ref="D24:D25"/>
    <mergeCell ref="E24:E25"/>
    <mergeCell ref="F24:F25"/>
    <mergeCell ref="G24:G25"/>
    <mergeCell ref="F34:F36"/>
    <mergeCell ref="B6:C6"/>
    <mergeCell ref="D7:G7"/>
    <mergeCell ref="D26:D28"/>
    <mergeCell ref="E26:E28"/>
    <mergeCell ref="F26:F28"/>
    <mergeCell ref="G26:G28"/>
    <mergeCell ref="I35:J35"/>
    <mergeCell ref="G34:G36"/>
    <mergeCell ref="D30:D32"/>
    <mergeCell ref="E30:E32"/>
    <mergeCell ref="F30:F32"/>
    <mergeCell ref="G30:G32"/>
    <mergeCell ref="D34:D36"/>
  </mergeCells>
  <dataValidations count="2">
    <dataValidation type="textLength" errorStyle="information" operator="lessThan" allowBlank="1" showInputMessage="1" showErrorMessage="1" errorTitle="Validación de Datos" error="Lo sentimos, esta celda solo acapta una cantidad de 5 caracteres." sqref="A22:G22 A20:G20 A10:G10 A18:G18 A12:G12 A8:C8 A16:G16 A14:B14 D14:G14">
      <formula1>7</formula1>
    </dataValidation>
    <dataValidation type="whole" operator="lessThanOrEqual" allowBlank="1" showInputMessage="1" showErrorMessage="1" sqref="H12">
      <formula1>5</formula1>
    </dataValidation>
  </dataValidations>
  <pageMargins left="0.7" right="0.7" top="0.75" bottom="0.75" header="0.3" footer="0.3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3">
              <controlPr defaultSize="0" print="0" autoFill="0" autoPict="0" macro="[0]!IMPRIMIR">
                <anchor moveWithCells="1" sizeWithCells="1">
                  <from>
                    <xdr:col>2</xdr:col>
                    <xdr:colOff>1228725</xdr:colOff>
                    <xdr:row>41</xdr:row>
                    <xdr:rowOff>95250</xdr:rowOff>
                  </from>
                  <to>
                    <xdr:col>4</xdr:col>
                    <xdr:colOff>523875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Copiar06">
                <anchor moveWithCells="1" sizeWithCells="1">
                  <from>
                    <xdr:col>4</xdr:col>
                    <xdr:colOff>990600</xdr:colOff>
                    <xdr:row>41</xdr:row>
                    <xdr:rowOff>123825</xdr:rowOff>
                  </from>
                  <to>
                    <xdr:col>6</xdr:col>
                    <xdr:colOff>533400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GuardarComo">
                <anchor moveWithCells="1" sizeWithCells="1">
                  <from>
                    <xdr:col>1</xdr:col>
                    <xdr:colOff>123825</xdr:colOff>
                    <xdr:row>41</xdr:row>
                    <xdr:rowOff>76200</xdr:rowOff>
                  </from>
                  <to>
                    <xdr:col>2</xdr:col>
                    <xdr:colOff>742950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theme="4" tint="-0.499984740745262"/>
  </sheetPr>
  <dimension ref="A1:O48"/>
  <sheetViews>
    <sheetView showGridLines="0" showRowColHeaders="0" topLeftCell="A15" zoomScaleNormal="100" zoomScaleSheetLayoutView="115" workbookViewId="0">
      <selection activeCell="B6" sqref="B6:C6"/>
    </sheetView>
  </sheetViews>
  <sheetFormatPr baseColWidth="10" defaultColWidth="0" defaultRowHeight="15" zeroHeight="1" x14ac:dyDescent="0.25"/>
  <cols>
    <col min="1" max="1" width="16.7109375" customWidth="1"/>
    <col min="2" max="2" width="14.42578125" bestFit="1" customWidth="1"/>
    <col min="3" max="3" width="22" bestFit="1" customWidth="1"/>
    <col min="4" max="4" width="13.7109375" bestFit="1" customWidth="1"/>
    <col min="5" max="5" width="17.7109375" bestFit="1" customWidth="1"/>
    <col min="6" max="6" width="12.42578125" bestFit="1" customWidth="1"/>
    <col min="7" max="7" width="18.7109375" bestFit="1" customWidth="1"/>
    <col min="8" max="8" width="10.5703125" bestFit="1" customWidth="1"/>
    <col min="9" max="9" width="22.5703125" bestFit="1" customWidth="1"/>
    <col min="10" max="10" width="11.42578125" customWidth="1"/>
    <col min="11" max="16384" width="11.42578125" hidden="1"/>
  </cols>
  <sheetData>
    <row r="1" spans="1:15" x14ac:dyDescent="0.25">
      <c r="A1" s="1"/>
      <c r="B1" s="1"/>
      <c r="C1" s="1"/>
      <c r="D1" s="1"/>
      <c r="E1" s="1"/>
      <c r="F1" s="1"/>
      <c r="G1" s="1"/>
      <c r="H1" s="6"/>
    </row>
    <row r="2" spans="1:15" x14ac:dyDescent="0.25">
      <c r="A2" s="1"/>
      <c r="B2" s="1"/>
      <c r="C2" s="1"/>
      <c r="D2" s="1"/>
      <c r="E2" s="1"/>
      <c r="F2" s="1"/>
      <c r="G2" s="1"/>
      <c r="H2" s="6"/>
    </row>
    <row r="3" spans="1:15" x14ac:dyDescent="0.25">
      <c r="A3" s="1"/>
      <c r="B3" s="1"/>
      <c r="C3" s="1"/>
      <c r="D3" s="1"/>
      <c r="E3" s="1"/>
      <c r="F3" s="1"/>
      <c r="G3" s="1"/>
      <c r="H3" s="6"/>
    </row>
    <row r="4" spans="1:15" x14ac:dyDescent="0.25">
      <c r="A4" s="1"/>
      <c r="B4" s="1"/>
      <c r="C4" s="1"/>
      <c r="D4" s="1"/>
      <c r="E4" s="1"/>
      <c r="F4" s="1"/>
      <c r="G4" s="1"/>
      <c r="H4" s="6"/>
    </row>
    <row r="5" spans="1:15" ht="12" customHeight="1" x14ac:dyDescent="0.25">
      <c r="A5" s="1"/>
      <c r="B5" s="1"/>
      <c r="C5" s="1"/>
      <c r="D5" s="1"/>
      <c r="E5" s="1"/>
      <c r="F5" s="1"/>
      <c r="G5" s="1"/>
      <c r="H5" s="6"/>
    </row>
    <row r="6" spans="1:15" s="38" customFormat="1" ht="18" customHeight="1" x14ac:dyDescent="0.25">
      <c r="A6" s="45" t="s">
        <v>141</v>
      </c>
      <c r="B6" s="319" t="s">
        <v>350</v>
      </c>
      <c r="C6" s="319"/>
      <c r="D6" s="1"/>
      <c r="E6" s="1"/>
      <c r="F6" s="1"/>
      <c r="G6" s="1"/>
      <c r="H6" s="44"/>
      <c r="I6" s="44"/>
      <c r="J6" s="44"/>
      <c r="K6" s="44"/>
      <c r="L6" s="44"/>
      <c r="M6" s="44"/>
      <c r="N6" s="44"/>
      <c r="O6" s="41"/>
    </row>
    <row r="7" spans="1:15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4"/>
      <c r="L7" s="44"/>
      <c r="M7" s="44"/>
      <c r="N7" s="44"/>
      <c r="O7" s="41"/>
    </row>
    <row r="8" spans="1:15" s="38" customFormat="1" x14ac:dyDescent="0.25">
      <c r="A8" s="59" t="s">
        <v>2</v>
      </c>
      <c r="B8" s="58" t="s">
        <v>351</v>
      </c>
      <c r="C8" s="60">
        <v>78486</v>
      </c>
      <c r="D8" s="323">
        <v>46082</v>
      </c>
      <c r="E8" s="332"/>
      <c r="F8" s="332"/>
      <c r="G8" s="333"/>
      <c r="H8" s="44"/>
      <c r="I8" s="44"/>
      <c r="J8" s="44"/>
      <c r="K8" s="44" t="s">
        <v>173</v>
      </c>
      <c r="L8" s="44" t="s">
        <v>174</v>
      </c>
      <c r="M8" s="44" t="s">
        <v>175</v>
      </c>
      <c r="N8" s="44" t="s">
        <v>176</v>
      </c>
      <c r="O8" s="41"/>
    </row>
    <row r="9" spans="1:15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54">
        <v>0</v>
      </c>
      <c r="L9" s="54">
        <v>86457</v>
      </c>
      <c r="M9" s="54">
        <v>85615</v>
      </c>
      <c r="N9" s="54">
        <v>0</v>
      </c>
      <c r="O9" s="41"/>
    </row>
    <row r="10" spans="1:15" s="38" customFormat="1" x14ac:dyDescent="0.25">
      <c r="A10" s="58" t="s">
        <v>372</v>
      </c>
      <c r="B10" s="58" t="s">
        <v>373</v>
      </c>
      <c r="C10" s="83" t="str">
        <f>IF(A29="",1,IF(A29&gt;0,10&amp;A29*10,11&amp;ABS(A29)*10))</f>
        <v>10232</v>
      </c>
      <c r="D10" s="83" t="str">
        <f>IF(B29="",2,IF(B29&gt;0,20&amp;ROUND(B29*10,0),21&amp;ROUND(ABS(B29)*10,0)))</f>
        <v>20212</v>
      </c>
      <c r="E10" s="84" t="str">
        <f>IF(C31="",4,IF(AND(C37&lt;1000,C37&gt;800),4&amp;C37*10,40&amp;TEXT((C37-INT(C37/1000)*1000)*10,"000")))</f>
        <v>40148</v>
      </c>
      <c r="F10" s="58" t="s">
        <v>374</v>
      </c>
      <c r="G10" s="58" t="s">
        <v>375</v>
      </c>
      <c r="H10" s="44"/>
      <c r="I10" s="44"/>
      <c r="J10" s="44"/>
      <c r="K10" s="54" t="str">
        <f>IFERROR(INDEX(FORMULAS!$P$30:$P$50, MATCH(VALUE(MID($K$9,4,2)), FORMULAS!$Q$30:$Q$50, 0)), "")</f>
        <v/>
      </c>
      <c r="L10" s="54">
        <f>IFERROR(INDEX(FORMULAS!$N$30:$N$42, MATCH(VALUE(MID($L$9,4,2)), FORMULAS!$O$30:$O$42, 0)), "")</f>
        <v>2134</v>
      </c>
      <c r="M10" s="54">
        <f>IFERROR(INDEX(FORMULAS!$L$30:$L$77, MATCH(VALUE(MID($M$9,4,2)), FORMULAS!$M$30:$M$77, 0)), "")</f>
        <v>457</v>
      </c>
      <c r="N10" s="54" t="str">
        <f>IFERROR(INDEX(FORMULAS!$L$30:$L$77, MATCH(VALUE(MID($N$9,4,2)), FORMULAS!$M$30:$M$77, 0)), "")</f>
        <v/>
      </c>
      <c r="O10" s="41"/>
    </row>
    <row r="11" spans="1:15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4"/>
      <c r="L11" s="44"/>
      <c r="M11" s="44"/>
      <c r="N11" s="44"/>
      <c r="O11" s="41"/>
    </row>
    <row r="12" spans="1:15" s="38" customFormat="1" x14ac:dyDescent="0.25">
      <c r="A12" s="58" t="s">
        <v>376</v>
      </c>
      <c r="B12" s="58" t="s">
        <v>37</v>
      </c>
      <c r="C12" s="58"/>
      <c r="D12" s="58" t="s">
        <v>36</v>
      </c>
      <c r="E12" s="58" t="s">
        <v>35</v>
      </c>
      <c r="F12" s="58" t="s">
        <v>377</v>
      </c>
      <c r="G12" s="58"/>
      <c r="H12" s="44"/>
      <c r="I12" s="44"/>
      <c r="J12" s="44"/>
      <c r="K12" s="55" t="s">
        <v>361</v>
      </c>
      <c r="L12" s="56"/>
      <c r="M12" s="44"/>
      <c r="N12" s="44"/>
      <c r="O12" s="41"/>
    </row>
    <row r="13" spans="1:15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4"/>
      <c r="L13" s="44"/>
      <c r="M13" s="44"/>
      <c r="N13" s="44"/>
      <c r="O13" s="41"/>
    </row>
    <row r="14" spans="1:15" s="38" customFormat="1" x14ac:dyDescent="0.25">
      <c r="A14" s="58"/>
      <c r="B14" s="58" t="s">
        <v>361</v>
      </c>
      <c r="C14" s="83" t="str">
        <f>IF(E33=0, "58",IF(E37 &gt;= 0, CONCATENATE("58",TEXT(ABS(E37*10),"000")),CONCATENATE("59",TEXT(ABS(E37)*10,"000"))))</f>
        <v>58002</v>
      </c>
      <c r="D14" s="58" t="s">
        <v>378</v>
      </c>
      <c r="E14" s="58" t="s">
        <v>18</v>
      </c>
      <c r="F14" s="58" t="s">
        <v>379</v>
      </c>
      <c r="G14" s="58" t="s">
        <v>380</v>
      </c>
      <c r="H14" s="44"/>
      <c r="I14" s="44"/>
      <c r="J14" s="44"/>
      <c r="K14" s="44"/>
      <c r="L14" s="44"/>
      <c r="M14" s="44"/>
      <c r="N14" s="44"/>
      <c r="O14" s="41"/>
    </row>
    <row r="15" spans="1:15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4"/>
      <c r="L15" s="44"/>
      <c r="M15" s="44"/>
      <c r="N15" s="44"/>
      <c r="O15" s="41"/>
    </row>
    <row r="16" spans="1:15" s="38" customFormat="1" x14ac:dyDescent="0.25">
      <c r="A16" s="58" t="s">
        <v>172</v>
      </c>
      <c r="B16" s="58" t="s">
        <v>172</v>
      </c>
      <c r="C16" s="58" t="s">
        <v>381</v>
      </c>
      <c r="D16" s="58" t="s">
        <v>382</v>
      </c>
      <c r="E16" s="58" t="s">
        <v>383</v>
      </c>
      <c r="F16" s="58" t="s">
        <v>384</v>
      </c>
      <c r="G16" s="58" t="s">
        <v>385</v>
      </c>
      <c r="H16" s="44"/>
      <c r="I16" s="44"/>
      <c r="J16" s="44"/>
      <c r="K16" s="44"/>
      <c r="L16" s="44"/>
      <c r="M16" s="44"/>
      <c r="N16" s="44"/>
      <c r="O16" s="41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4"/>
      <c r="L17" s="44"/>
      <c r="M17" s="44"/>
      <c r="N17" s="44"/>
      <c r="O17" s="41"/>
    </row>
    <row r="18" spans="1:15" s="38" customFormat="1" x14ac:dyDescent="0.25">
      <c r="A18" s="58" t="s">
        <v>386</v>
      </c>
      <c r="B18" s="58" t="s">
        <v>387</v>
      </c>
      <c r="C18" s="58" t="s">
        <v>388</v>
      </c>
      <c r="D18" s="58" t="s">
        <v>389</v>
      </c>
      <c r="E18" s="58" t="s">
        <v>19</v>
      </c>
      <c r="F18" s="58" t="s">
        <v>19</v>
      </c>
      <c r="G18" s="58" t="s">
        <v>19</v>
      </c>
      <c r="H18" s="44"/>
      <c r="I18" s="44"/>
      <c r="J18" s="44"/>
      <c r="K18" s="44"/>
      <c r="L18" s="44"/>
      <c r="M18" s="44"/>
      <c r="N18" s="44"/>
      <c r="O18" s="41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4"/>
      <c r="I19" s="44"/>
      <c r="J19" s="44"/>
      <c r="K19" s="44"/>
      <c r="L19" s="44"/>
      <c r="M19" s="44"/>
      <c r="N19" s="44"/>
      <c r="O19" s="41"/>
    </row>
    <row r="20" spans="1:15" s="38" customFormat="1" x14ac:dyDescent="0.25">
      <c r="A20" s="58" t="s">
        <v>19</v>
      </c>
      <c r="B20" s="58" t="s">
        <v>19</v>
      </c>
      <c r="C20" s="58" t="s">
        <v>19</v>
      </c>
      <c r="D20" s="58" t="s">
        <v>19</v>
      </c>
      <c r="E20" s="58" t="s">
        <v>19</v>
      </c>
      <c r="F20" s="58" t="s">
        <v>19</v>
      </c>
      <c r="G20" s="58" t="s">
        <v>19</v>
      </c>
      <c r="H20" s="41"/>
      <c r="I20"/>
      <c r="J20"/>
      <c r="K20" s="44"/>
      <c r="L20" s="44"/>
      <c r="M20" s="44"/>
      <c r="N20" s="44"/>
      <c r="O20" s="41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4"/>
      <c r="L21" s="44"/>
      <c r="M21" s="44"/>
      <c r="N21" s="44"/>
      <c r="O21" s="41"/>
    </row>
    <row r="22" spans="1:15" s="38" customFormat="1" x14ac:dyDescent="0.25">
      <c r="A22" s="58" t="s">
        <v>19</v>
      </c>
      <c r="B22" s="58" t="s">
        <v>19</v>
      </c>
      <c r="C22" s="58" t="s">
        <v>19</v>
      </c>
      <c r="D22" s="58" t="s">
        <v>21</v>
      </c>
      <c r="E22" s="58" t="s">
        <v>21</v>
      </c>
      <c r="F22" s="58" t="s">
        <v>22</v>
      </c>
      <c r="G22" s="83" t="str">
        <f>IF(B37=100,"29100",290&amp;TEXT(B37,0))</f>
        <v>29089</v>
      </c>
      <c r="H22" s="41"/>
      <c r="K22" s="44"/>
      <c r="L22" s="44"/>
      <c r="M22" s="44"/>
      <c r="N22" s="44"/>
      <c r="O22" s="41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1"/>
      <c r="L23" s="41"/>
      <c r="M23" s="41"/>
      <c r="N23" s="41"/>
      <c r="O23" s="41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1"/>
      <c r="L24" s="41"/>
      <c r="M24" s="41"/>
      <c r="N24" s="41"/>
      <c r="O24" s="41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1"/>
      <c r="L25" s="41"/>
      <c r="M25" s="41"/>
      <c r="N25" s="41"/>
      <c r="O25" s="41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26.107375651375882</v>
      </c>
      <c r="K26" s="41"/>
      <c r="L26" s="41"/>
      <c r="M26" s="41"/>
      <c r="N26" s="41"/>
      <c r="O26" s="41"/>
    </row>
    <row r="27" spans="1:15" s="38" customFormat="1" x14ac:dyDescent="0.25">
      <c r="A27" s="317"/>
      <c r="B27" s="317"/>
      <c r="C27" s="58"/>
      <c r="D27" s="317"/>
      <c r="E27" s="317"/>
      <c r="F27" s="317"/>
      <c r="G27" s="317"/>
      <c r="H27" s="47">
        <f>0.00066*1000*(1+0.00115*A33)</f>
        <v>0.67654619999999999</v>
      </c>
      <c r="K27" s="41"/>
      <c r="L27" s="41"/>
      <c r="M27" s="41"/>
      <c r="N27" s="41"/>
      <c r="O27" s="41"/>
    </row>
    <row r="28" spans="1:15" s="38" customFormat="1" x14ac:dyDescent="0.25">
      <c r="A28" s="318"/>
      <c r="B28" s="318"/>
      <c r="C28" s="35" t="s">
        <v>43</v>
      </c>
      <c r="D28" s="318"/>
      <c r="E28" s="318"/>
      <c r="F28" s="318"/>
      <c r="G28" s="318"/>
      <c r="H28" s="46">
        <f>6.112*EXP((17.67*A29)/(A29+243.5))</f>
        <v>28.427355819344356</v>
      </c>
      <c r="K28" s="41"/>
      <c r="L28" s="41"/>
      <c r="M28" s="41"/>
      <c r="N28" s="41"/>
      <c r="O28" s="41"/>
    </row>
    <row r="29" spans="1:15" s="38" customFormat="1" x14ac:dyDescent="0.25">
      <c r="A29" s="58" t="s">
        <v>371</v>
      </c>
      <c r="B29" s="62">
        <f xml:space="preserve"> IFERROR((A29 - (14.55 + 0.114 * A29) * (1 - (0.01 * B37)) - ((2.5 + 0.007 * A29) * (1 - (0.01 * B37))) ^ 3 - (15.9 + 0.117 *A29) * (1 - (0.01 * B37)) ^ 14),"")</f>
        <v>21.19515897396256</v>
      </c>
      <c r="C29" s="58"/>
      <c r="D29" s="62">
        <f>'0006Z'!C31</f>
        <v>14.2</v>
      </c>
      <c r="E29" s="61">
        <v>13</v>
      </c>
      <c r="F29" s="58"/>
      <c r="G29" s="58"/>
      <c r="H29" s="41"/>
      <c r="K29" s="41"/>
      <c r="L29" s="41"/>
      <c r="M29" s="41"/>
      <c r="N29" s="41"/>
      <c r="O29" s="41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1"/>
      <c r="L30" s="41"/>
      <c r="M30" s="41"/>
      <c r="N30" s="41"/>
      <c r="O30" s="41"/>
    </row>
    <row r="31" spans="1:15" s="38" customFormat="1" x14ac:dyDescent="0.25">
      <c r="A31" s="317"/>
      <c r="B31" s="317"/>
      <c r="C31" s="61">
        <v>13.2</v>
      </c>
      <c r="D31" s="317"/>
      <c r="E31" s="317"/>
      <c r="F31" s="317"/>
      <c r="G31" s="317"/>
      <c r="H31" s="41"/>
      <c r="K31" s="41"/>
      <c r="L31" s="41"/>
      <c r="M31" s="41"/>
      <c r="N31" s="41"/>
      <c r="O31" s="41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1"/>
      <c r="L32" s="41"/>
      <c r="M32" s="41"/>
      <c r="N32" s="41"/>
      <c r="O32" s="41"/>
    </row>
    <row r="33" spans="1:15" s="38" customFormat="1" x14ac:dyDescent="0.25">
      <c r="A33" s="61">
        <v>21.8</v>
      </c>
      <c r="B33" s="62">
        <f>IF(ROUND(H26-H27*(A29-A33), 1) = 6.1, "  ", H26-H27*(A29-A33))</f>
        <v>25.160210971375882</v>
      </c>
      <c r="C33" s="62">
        <f>IF(C8="","",VLOOKUP(C8,FORMULAS!O:T,3,FALSE))</f>
        <v>1.6</v>
      </c>
      <c r="D33" s="62">
        <f>C31</f>
        <v>13.2</v>
      </c>
      <c r="E33" s="62">
        <f>C31</f>
        <v>13.2</v>
      </c>
      <c r="F33" s="63"/>
      <c r="G33" s="63"/>
      <c r="H33" s="41">
        <f>IFERROR(VLOOKUP(VALUE(RIGHT(A10, 2)), FORMULAS!$S$30:$T$70, 2, FALSE), IFERROR(VLOOKUP(VALUE(RIGHT(A10, 2)), FORMULAS!$U$30:$V$64, 2, FALSE), " "))</f>
        <v>160</v>
      </c>
      <c r="K33" s="41"/>
      <c r="L33" s="41"/>
      <c r="M33" s="41"/>
      <c r="N33" s="41"/>
      <c r="O33" s="41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1.3999999999999986</v>
      </c>
      <c r="B37" s="64">
        <f>IFERROR((B33/H28)*100, "")</f>
        <v>88.507039245116019</v>
      </c>
      <c r="C37" s="62">
        <f>IFERROR(SUM(C31) + (C33), " ")</f>
        <v>14.799999999999999</v>
      </c>
      <c r="D37" s="62">
        <f>SUM(D33 - D29 )</f>
        <v>-1</v>
      </c>
      <c r="E37" s="62">
        <f>SUM(E33 - E29)</f>
        <v>0.19999999999999929</v>
      </c>
      <c r="F37" s="58" t="s">
        <v>390</v>
      </c>
      <c r="G37" s="58"/>
      <c r="I37" s="58" t="s">
        <v>172</v>
      </c>
      <c r="J37" s="58">
        <v>8</v>
      </c>
      <c r="K37" s="41"/>
      <c r="L37" s="41"/>
      <c r="M37" s="41"/>
      <c r="N37" s="41"/>
      <c r="O37" s="41"/>
    </row>
    <row r="38" spans="1:15" x14ac:dyDescent="0.25">
      <c r="H38" s="38"/>
      <c r="I38" s="38"/>
      <c r="J38" s="38"/>
      <c r="K38" s="38"/>
      <c r="L38" s="38"/>
      <c r="M38" s="38"/>
    </row>
    <row r="39" spans="1:15" x14ac:dyDescent="0.25">
      <c r="H39" s="38"/>
      <c r="I39" s="38"/>
      <c r="J39" s="38"/>
      <c r="K39" s="38"/>
      <c r="L39" s="38"/>
      <c r="M39" s="38"/>
    </row>
    <row r="40" spans="1:15" x14ac:dyDescent="0.25">
      <c r="H40" s="38"/>
      <c r="I40" s="38"/>
      <c r="J40" s="38"/>
      <c r="K40" s="38"/>
      <c r="L40" s="38"/>
      <c r="M40" s="38"/>
    </row>
    <row r="41" spans="1:15" x14ac:dyDescent="0.25">
      <c r="H41" s="38"/>
      <c r="I41" s="38"/>
      <c r="J41" s="38"/>
      <c r="K41" s="38"/>
      <c r="L41" s="38"/>
      <c r="M41" s="38"/>
    </row>
    <row r="42" spans="1:15" x14ac:dyDescent="0.25"/>
    <row r="43" spans="1:15" x14ac:dyDescent="0.25"/>
    <row r="44" spans="1:15" x14ac:dyDescent="0.25"/>
    <row r="45" spans="1:15" x14ac:dyDescent="0.25"/>
    <row r="46" spans="1:15" x14ac:dyDescent="0.25"/>
    <row r="47" spans="1:15" x14ac:dyDescent="0.25"/>
    <row r="48" spans="1:15" x14ac:dyDescent="0.25"/>
  </sheetData>
  <sheetProtection algorithmName="SHA-512" hashValue="hH7zU2OQD7ZwYijb4wHqA62TogI8Zvh5miOGgyVrtthmC9o6rux3zGR2u/MtVImHn0KZlpbeRbzqHr+svrsjKA==" saltValue="tgdu0PQtEKIlr1bTEyv0JQ==" spinCount="100000" sheet="1" objects="1" scenarios="1" formatCells="0" selectLockedCells="1"/>
  <mergeCells count="29">
    <mergeCell ref="F24:F25"/>
    <mergeCell ref="G24:G25"/>
    <mergeCell ref="G26:G28"/>
    <mergeCell ref="D26:D28"/>
    <mergeCell ref="E26:E28"/>
    <mergeCell ref="F26:F28"/>
    <mergeCell ref="D24:D25"/>
    <mergeCell ref="E24:E25"/>
    <mergeCell ref="B30:B32"/>
    <mergeCell ref="D30:D32"/>
    <mergeCell ref="E30:E32"/>
    <mergeCell ref="F30:F32"/>
    <mergeCell ref="G30:G32"/>
    <mergeCell ref="I35:J35"/>
    <mergeCell ref="D8:G8"/>
    <mergeCell ref="D7:G7"/>
    <mergeCell ref="A26:A28"/>
    <mergeCell ref="B6:C6"/>
    <mergeCell ref="A24:B25"/>
    <mergeCell ref="C24:C25"/>
    <mergeCell ref="B26:B28"/>
    <mergeCell ref="G34:G36"/>
    <mergeCell ref="A34:A36"/>
    <mergeCell ref="B34:B36"/>
    <mergeCell ref="C34:C36"/>
    <mergeCell ref="D34:D36"/>
    <mergeCell ref="E34:E36"/>
    <mergeCell ref="F34:F36"/>
    <mergeCell ref="A30:A32"/>
  </mergeCells>
  <dataValidations count="2">
    <dataValidation type="whole" operator="lessThanOrEqual" allowBlank="1" showInputMessage="1" showErrorMessage="1" sqref="H12">
      <formula1>5</formula1>
    </dataValidation>
    <dataValidation type="textLength" errorStyle="information" operator="lessThan" allowBlank="1" showInputMessage="1" showErrorMessage="1" errorTitle="Validación de Datos" error="Lo sentimos, esta celda solo acapta una cantidad de 5 caracteres." sqref="A22:G22 A20:G20 A10:G10 A18:G18 A12:G12 A8:C8 A16:G16 A14:B14 D14:G14">
      <formula1>7</formula1>
    </dataValidation>
  </dataValidations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IMPRIMIR">
                <anchor moveWithCells="1" sizeWithCells="1">
                  <from>
                    <xdr:col>1</xdr:col>
                    <xdr:colOff>619125</xdr:colOff>
                    <xdr:row>41</xdr:row>
                    <xdr:rowOff>47625</xdr:rowOff>
                  </from>
                  <to>
                    <xdr:col>3</xdr:col>
                    <xdr:colOff>304800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Copiar09">
                <anchor moveWithCells="1" sizeWithCells="1">
                  <from>
                    <xdr:col>4</xdr:col>
                    <xdr:colOff>257175</xdr:colOff>
                    <xdr:row>41</xdr:row>
                    <xdr:rowOff>66675</xdr:rowOff>
                  </from>
                  <to>
                    <xdr:col>6</xdr:col>
                    <xdr:colOff>333375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4" tint="-0.249977111117893"/>
  </sheetPr>
  <dimension ref="A1:O48"/>
  <sheetViews>
    <sheetView showGridLines="0" showRowColHeaders="0" topLeftCell="A17" zoomScaleNormal="100" zoomScaleSheetLayoutView="100" workbookViewId="0">
      <selection activeCell="B6" sqref="B6:C6"/>
    </sheetView>
  </sheetViews>
  <sheetFormatPr baseColWidth="10" defaultColWidth="0" defaultRowHeight="15" zeroHeight="1" x14ac:dyDescent="0.25"/>
  <cols>
    <col min="1" max="1" width="16.7109375" style="1" bestFit="1" customWidth="1"/>
    <col min="2" max="2" width="14.42578125" style="1" bestFit="1" customWidth="1"/>
    <col min="3" max="3" width="22" style="1" bestFit="1" customWidth="1"/>
    <col min="4" max="4" width="13.7109375" style="1" bestFit="1" customWidth="1"/>
    <col min="5" max="5" width="17.7109375" style="1" bestFit="1" customWidth="1"/>
    <col min="6" max="6" width="12.42578125" style="1" bestFit="1" customWidth="1"/>
    <col min="7" max="7" width="18.7109375" style="1" bestFit="1" customWidth="1"/>
    <col min="8" max="8" width="10.5703125" style="1" bestFit="1" customWidth="1"/>
    <col min="9" max="9" width="22.5703125" style="1" customWidth="1"/>
    <col min="10" max="10" width="14.42578125" style="1" bestFit="1" customWidth="1"/>
    <col min="11" max="11" width="9.85546875" style="1" hidden="1" customWidth="1"/>
    <col min="12" max="12" width="11.85546875" style="1" hidden="1" customWidth="1"/>
    <col min="13" max="13" width="10" style="1" hidden="1" customWidth="1"/>
    <col min="14" max="14" width="13.85546875" style="1" hidden="1" customWidth="1"/>
    <col min="15" max="16384" width="11.42578125" style="1" hidden="1"/>
  </cols>
  <sheetData>
    <row r="1" spans="1:15" s="38" customFormat="1" x14ac:dyDescent="0.25">
      <c r="H1" s="44"/>
      <c r="I1" s="44"/>
      <c r="J1" s="44"/>
      <c r="K1" s="41"/>
      <c r="L1" s="41"/>
      <c r="M1" s="41"/>
      <c r="N1" s="41"/>
      <c r="O1" s="41"/>
    </row>
    <row r="2" spans="1:15" s="38" customFormat="1" x14ac:dyDescent="0.25">
      <c r="H2" s="44"/>
      <c r="I2" s="44"/>
      <c r="J2" s="44"/>
      <c r="K2" s="41"/>
      <c r="L2" s="41"/>
      <c r="M2" s="41"/>
      <c r="N2" s="41"/>
      <c r="O2" s="41"/>
    </row>
    <row r="3" spans="1:15" s="38" customFormat="1" x14ac:dyDescent="0.25">
      <c r="H3" s="44"/>
      <c r="I3" s="44"/>
      <c r="J3" s="44"/>
      <c r="K3" s="41"/>
      <c r="L3" s="41"/>
      <c r="M3" s="41"/>
      <c r="N3" s="41"/>
      <c r="O3" s="41"/>
    </row>
    <row r="4" spans="1:15" s="38" customFormat="1" x14ac:dyDescent="0.25">
      <c r="H4" s="44"/>
      <c r="I4" s="44"/>
      <c r="J4" s="44"/>
      <c r="K4" s="41"/>
      <c r="L4" s="41"/>
      <c r="M4" s="41"/>
      <c r="N4" s="41"/>
      <c r="O4" s="41"/>
    </row>
    <row r="5" spans="1:15" s="38" customFormat="1" ht="12" customHeight="1" x14ac:dyDescent="0.25">
      <c r="H5" s="44"/>
      <c r="I5" s="44"/>
      <c r="J5" s="44"/>
      <c r="K5" s="41"/>
      <c r="L5" s="41"/>
      <c r="M5" s="41"/>
      <c r="N5" s="41"/>
      <c r="O5" s="41"/>
    </row>
    <row r="6" spans="1:15" s="38" customFormat="1" ht="18" customHeight="1" x14ac:dyDescent="0.25">
      <c r="A6" s="45" t="s">
        <v>141</v>
      </c>
      <c r="B6" s="319" t="s">
        <v>391</v>
      </c>
      <c r="C6" s="319"/>
      <c r="D6" s="1"/>
      <c r="E6" s="1"/>
      <c r="F6" s="1"/>
      <c r="G6" s="1"/>
      <c r="H6" s="44"/>
      <c r="I6" s="44"/>
      <c r="J6" s="44"/>
      <c r="K6" s="41"/>
      <c r="L6" s="41"/>
      <c r="M6" s="41"/>
      <c r="N6" s="41"/>
      <c r="O6" s="41"/>
    </row>
    <row r="7" spans="1:15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4"/>
      <c r="L7" s="44"/>
      <c r="M7" s="44"/>
      <c r="N7" s="44"/>
      <c r="O7" s="41"/>
    </row>
    <row r="8" spans="1:15" s="38" customFormat="1" x14ac:dyDescent="0.25">
      <c r="A8" s="59" t="s">
        <v>2</v>
      </c>
      <c r="B8" s="58" t="s">
        <v>392</v>
      </c>
      <c r="C8" s="60">
        <v>78486</v>
      </c>
      <c r="D8" s="323">
        <v>46082</v>
      </c>
      <c r="E8" s="324"/>
      <c r="F8" s="324"/>
      <c r="G8" s="325"/>
      <c r="H8" s="44"/>
      <c r="I8" s="44"/>
      <c r="J8" s="44"/>
      <c r="K8" s="44" t="s">
        <v>173</v>
      </c>
      <c r="L8" s="44" t="s">
        <v>174</v>
      </c>
      <c r="M8" s="44" t="s">
        <v>175</v>
      </c>
      <c r="N8" s="44" t="s">
        <v>176</v>
      </c>
      <c r="O8" s="41"/>
    </row>
    <row r="9" spans="1:15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54">
        <v>0</v>
      </c>
      <c r="L9" s="54">
        <v>85458</v>
      </c>
      <c r="M9" s="54">
        <v>84616</v>
      </c>
      <c r="N9" s="54">
        <v>0</v>
      </c>
      <c r="O9" s="41"/>
    </row>
    <row r="10" spans="1:15" s="38" customFormat="1" x14ac:dyDescent="0.25">
      <c r="A10" s="58" t="s">
        <v>399</v>
      </c>
      <c r="B10" s="58" t="s">
        <v>396</v>
      </c>
      <c r="C10" s="83" t="str">
        <f>IF(A29="",1,IF(A29&gt;0,10&amp;A29*10,11&amp;ABS(A29)*10))</f>
        <v>10240</v>
      </c>
      <c r="D10" s="83" t="str">
        <f>IF(B29="",2,IF(B29&gt;0,20&amp;ROUND(B29*10,0),21&amp;ROUND(ABS(B29)*10,0)))</f>
        <v>20212</v>
      </c>
      <c r="E10" s="84" t="str">
        <f>IF(C31="",4,IF(AND(C37&lt;1000,C37&gt;800),4&amp;C37*10,40&amp;TEXT((C37-INT(C37/1000)*1000)*10,"000")))</f>
        <v>40161</v>
      </c>
      <c r="F10" s="58" t="s">
        <v>397</v>
      </c>
      <c r="G10" s="58" t="s">
        <v>398</v>
      </c>
      <c r="H10" s="44"/>
      <c r="I10" s="44"/>
      <c r="J10" s="44"/>
      <c r="K10" s="54" t="str">
        <f>IFERROR(INDEX(FORMULAS!$P$30:$P$50, MATCH(VALUE(MID($K$9,4,2)), FORMULAS!$Q$30:$Q$50, 0)), "")</f>
        <v/>
      </c>
      <c r="L10" s="54">
        <f>IFERROR(INDEX(FORMULAS!$N$30:$N$42, MATCH(VALUE(MID($L$9,4,2)), FORMULAS!$O$30:$O$42, 0)), "")</f>
        <v>2438</v>
      </c>
      <c r="M10" s="54">
        <f>IFERROR(INDEX(FORMULAS!$L$30:$L$77, MATCH(VALUE(MID($M$9,4,2)), FORMULAS!$M$30:$M$77, 0)), "")</f>
        <v>488</v>
      </c>
      <c r="N10" s="54" t="str">
        <f>IFERROR(INDEX(FORMULAS!$L$30:$L$77, MATCH(VALUE(MID($N$9,4,2)), FORMULAS!$M$30:$M$77, 0)), "")</f>
        <v/>
      </c>
      <c r="O10" s="41"/>
    </row>
    <row r="11" spans="1:15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4"/>
      <c r="L11" s="44"/>
      <c r="M11" s="44"/>
      <c r="N11" s="44"/>
      <c r="O11" s="41"/>
    </row>
    <row r="12" spans="1:15" s="38" customFormat="1" x14ac:dyDescent="0.25">
      <c r="A12" s="58" t="s">
        <v>400</v>
      </c>
      <c r="B12" s="58" t="s">
        <v>37</v>
      </c>
      <c r="C12" s="58"/>
      <c r="D12" s="58" t="s">
        <v>358</v>
      </c>
      <c r="E12" s="58" t="s">
        <v>401</v>
      </c>
      <c r="F12" s="58" t="s">
        <v>377</v>
      </c>
      <c r="G12" s="58" t="s">
        <v>402</v>
      </c>
      <c r="H12" s="44"/>
      <c r="I12" s="44"/>
      <c r="J12" s="44"/>
      <c r="K12" s="55" t="s">
        <v>361</v>
      </c>
      <c r="L12" s="56"/>
      <c r="M12" s="44"/>
      <c r="N12" s="44"/>
      <c r="O12" s="41"/>
    </row>
    <row r="13" spans="1:15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4"/>
      <c r="L13" s="44"/>
      <c r="M13" s="44"/>
      <c r="N13" s="44"/>
      <c r="O13" s="41"/>
    </row>
    <row r="14" spans="1:15" s="38" customFormat="1" x14ac:dyDescent="0.25">
      <c r="A14" s="58"/>
      <c r="B14" s="58" t="s">
        <v>361</v>
      </c>
      <c r="C14" s="303" t="str">
        <f>IF(E33=0, "58",IF(E37 &gt;= 0, CONCATENATE("58",TEXT(ABS(E37*10),"000")),CONCATENATE("59",TEXT(ABS(E37)*10,"000"))))</f>
        <v>58000</v>
      </c>
      <c r="D14" s="58" t="s">
        <v>17</v>
      </c>
      <c r="E14" s="58" t="s">
        <v>403</v>
      </c>
      <c r="F14" s="58" t="s">
        <v>404</v>
      </c>
      <c r="G14" s="58" t="s">
        <v>405</v>
      </c>
      <c r="H14" s="44"/>
      <c r="I14" s="44"/>
      <c r="J14" s="44"/>
      <c r="K14" s="41"/>
      <c r="L14" s="41"/>
      <c r="M14" s="41"/>
      <c r="N14" s="41"/>
      <c r="O14" s="41"/>
    </row>
    <row r="15" spans="1:15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1"/>
      <c r="L15" s="41"/>
      <c r="M15" s="41"/>
      <c r="N15" s="41"/>
      <c r="O15" s="41"/>
    </row>
    <row r="16" spans="1:15" s="38" customFormat="1" x14ac:dyDescent="0.25">
      <c r="A16" s="58" t="s">
        <v>172</v>
      </c>
      <c r="B16" s="58" t="s">
        <v>172</v>
      </c>
      <c r="C16" s="58" t="s">
        <v>406</v>
      </c>
      <c r="D16" s="58" t="s">
        <v>385</v>
      </c>
      <c r="E16" s="58" t="s">
        <v>407</v>
      </c>
      <c r="F16" s="58" t="s">
        <v>387</v>
      </c>
      <c r="G16" s="58" t="s">
        <v>408</v>
      </c>
      <c r="H16" s="44"/>
      <c r="I16" s="44"/>
      <c r="J16" s="44"/>
      <c r="K16" s="41"/>
      <c r="L16" s="41"/>
      <c r="M16" s="41"/>
      <c r="N16" s="41"/>
      <c r="O16" s="41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1"/>
      <c r="L17" s="41"/>
      <c r="M17" s="41"/>
      <c r="N17" s="41"/>
      <c r="O17" s="41"/>
    </row>
    <row r="18" spans="1:15" s="38" customFormat="1" x14ac:dyDescent="0.25">
      <c r="A18" s="58" t="s">
        <v>19</v>
      </c>
      <c r="B18" s="58" t="s">
        <v>19</v>
      </c>
      <c r="C18" s="58" t="s">
        <v>19</v>
      </c>
      <c r="D18" s="58" t="s">
        <v>19</v>
      </c>
      <c r="E18" s="58" t="s">
        <v>19</v>
      </c>
      <c r="F18" s="58" t="s">
        <v>19</v>
      </c>
      <c r="G18" s="58" t="s">
        <v>19</v>
      </c>
      <c r="H18" s="44"/>
      <c r="I18" s="44"/>
      <c r="J18" s="44"/>
      <c r="K18" s="41"/>
      <c r="L18" s="41"/>
      <c r="M18" s="41"/>
      <c r="N18" s="41"/>
      <c r="O18" s="41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4"/>
      <c r="I19" s="44"/>
      <c r="J19" s="44"/>
      <c r="K19" s="41"/>
      <c r="L19" s="41"/>
      <c r="M19" s="41"/>
      <c r="N19" s="41"/>
      <c r="O19" s="41"/>
    </row>
    <row r="20" spans="1:15" s="38" customFormat="1" x14ac:dyDescent="0.25">
      <c r="A20" s="58" t="s">
        <v>19</v>
      </c>
      <c r="B20" s="58" t="s">
        <v>19</v>
      </c>
      <c r="C20" s="58" t="s">
        <v>19</v>
      </c>
      <c r="D20" s="58" t="s">
        <v>19</v>
      </c>
      <c r="E20" s="58" t="s">
        <v>19</v>
      </c>
      <c r="F20" s="58" t="s">
        <v>19</v>
      </c>
      <c r="G20" s="58" t="s">
        <v>19</v>
      </c>
      <c r="H20" s="41"/>
      <c r="I20"/>
      <c r="J20"/>
      <c r="K20" s="41"/>
      <c r="L20" s="41"/>
      <c r="M20" s="41"/>
      <c r="N20" s="41"/>
      <c r="O20" s="41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1"/>
      <c r="L21" s="41"/>
      <c r="M21" s="41"/>
      <c r="N21" s="41"/>
      <c r="O21" s="41"/>
    </row>
    <row r="22" spans="1:15" s="38" customFormat="1" x14ac:dyDescent="0.25">
      <c r="A22" s="58" t="s">
        <v>19</v>
      </c>
      <c r="B22" s="58" t="s">
        <v>19</v>
      </c>
      <c r="C22" s="58" t="s">
        <v>19</v>
      </c>
      <c r="D22" s="58" t="s">
        <v>21</v>
      </c>
      <c r="E22" s="58" t="s">
        <v>21</v>
      </c>
      <c r="F22" s="58" t="s">
        <v>22</v>
      </c>
      <c r="G22" s="83" t="str">
        <f>IF(B37=100,"29100",290&amp;TEXT(B37,0))</f>
        <v>29084</v>
      </c>
      <c r="H22" s="41"/>
      <c r="K22" s="41"/>
      <c r="L22" s="41"/>
      <c r="M22" s="41"/>
      <c r="N22" s="41"/>
      <c r="O22" s="41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1"/>
      <c r="L23" s="41"/>
      <c r="M23" s="41"/>
      <c r="N23" s="41"/>
      <c r="O23" s="41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1"/>
      <c r="L24" s="41"/>
      <c r="M24" s="41"/>
      <c r="N24" s="41"/>
      <c r="O24" s="41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1"/>
      <c r="L25" s="41"/>
      <c r="M25" s="41"/>
      <c r="N25" s="41"/>
      <c r="O25" s="41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26.428285124166099</v>
      </c>
      <c r="K26" s="41"/>
      <c r="L26" s="41"/>
      <c r="M26" s="41"/>
      <c r="N26" s="41"/>
      <c r="O26" s="41"/>
    </row>
    <row r="27" spans="1:15" s="38" customFormat="1" x14ac:dyDescent="0.25">
      <c r="A27" s="317"/>
      <c r="B27" s="317"/>
      <c r="C27" s="66"/>
      <c r="D27" s="317"/>
      <c r="E27" s="317"/>
      <c r="F27" s="317"/>
      <c r="G27" s="317"/>
      <c r="H27" s="47">
        <f>0.00066*1000*(1+0.00115*A33)</f>
        <v>0.67669800000000013</v>
      </c>
      <c r="K27" s="41"/>
      <c r="L27" s="41"/>
      <c r="M27" s="41"/>
      <c r="N27" s="41"/>
      <c r="O27" s="41"/>
    </row>
    <row r="28" spans="1:15" s="38" customFormat="1" x14ac:dyDescent="0.25">
      <c r="A28" s="318"/>
      <c r="B28" s="318"/>
      <c r="C28" s="33" t="s">
        <v>43</v>
      </c>
      <c r="D28" s="318"/>
      <c r="E28" s="318"/>
      <c r="F28" s="318"/>
      <c r="G28" s="318"/>
      <c r="H28" s="46">
        <f>6.112*EXP((17.67*A29)/(A29+243.5))</f>
        <v>29.832543048181464</v>
      </c>
      <c r="K28" s="41"/>
      <c r="L28" s="41"/>
      <c r="M28" s="41"/>
      <c r="N28" s="41"/>
      <c r="O28" s="41"/>
    </row>
    <row r="29" spans="1:15" s="38" customFormat="1" x14ac:dyDescent="0.25">
      <c r="A29" s="58" t="s">
        <v>393</v>
      </c>
      <c r="B29" s="62">
        <f xml:space="preserve"> IFERROR((A29 - (14.55 + 0.114 * A29) * (1 - (0.01 * B37)) - ((2.5 + 0.007 * A29) * (1 - (0.01 * B37))) ^ 3 - (15.9 + 0.117 *A29) * (1 - (0.01 * B37)) ^ 14),"")</f>
        <v>21.16622098226286</v>
      </c>
      <c r="C29" s="58"/>
      <c r="D29" s="62">
        <f>'0009Z'!C31</f>
        <v>13.2</v>
      </c>
      <c r="E29" s="61">
        <v>14.5</v>
      </c>
      <c r="F29" s="58" t="s">
        <v>394</v>
      </c>
      <c r="G29" s="58" t="s">
        <v>395</v>
      </c>
      <c r="H29" s="41"/>
      <c r="K29" s="41"/>
      <c r="L29" s="41"/>
      <c r="M29" s="41"/>
      <c r="N29" s="41"/>
      <c r="O29" s="41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1"/>
      <c r="L30" s="41"/>
      <c r="M30" s="41"/>
      <c r="N30" s="41"/>
      <c r="O30" s="41"/>
    </row>
    <row r="31" spans="1:15" s="38" customFormat="1" x14ac:dyDescent="0.25">
      <c r="A31" s="317"/>
      <c r="B31" s="317"/>
      <c r="C31" s="61">
        <v>14.5</v>
      </c>
      <c r="D31" s="317"/>
      <c r="E31" s="317"/>
      <c r="F31" s="317"/>
      <c r="G31" s="317"/>
      <c r="H31" s="41"/>
      <c r="K31" s="41"/>
      <c r="L31" s="41"/>
      <c r="M31" s="41"/>
      <c r="N31" s="41"/>
      <c r="O31" s="41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1"/>
      <c r="L32" s="41"/>
      <c r="M32" s="41"/>
      <c r="N32" s="41"/>
      <c r="O32" s="41"/>
    </row>
    <row r="33" spans="1:15" s="38" customFormat="1" x14ac:dyDescent="0.25">
      <c r="A33" s="61">
        <v>22</v>
      </c>
      <c r="B33" s="62">
        <f>IF(ROUND(H26-H27*(A29-A33), 1) = 6.1, "  ", H26-H27*(A29-A33))</f>
        <v>25.074889124166098</v>
      </c>
      <c r="C33" s="62">
        <f>IF(C8="","",VLOOKUP(C8,FORMULAS!O:T,3,FALSE))</f>
        <v>1.6</v>
      </c>
      <c r="D33" s="62">
        <f>C31</f>
        <v>14.5</v>
      </c>
      <c r="E33" s="62">
        <f>C31</f>
        <v>14.5</v>
      </c>
      <c r="F33" s="63">
        <v>23</v>
      </c>
      <c r="G33" s="63">
        <v>22.5</v>
      </c>
      <c r="H33" s="41">
        <f>IFERROR(VLOOKUP(VALUE(RIGHT(A10, 2)), FORMULAS!$S$30:$T$70, 2, FALSE), IFERROR(VLOOKUP(VALUE(RIGHT(A10, 2)), FORMULAS!$U$30:$V$64, 2, FALSE), " "))</f>
        <v>160</v>
      </c>
      <c r="K33" s="41"/>
      <c r="L33" s="41"/>
      <c r="M33" s="41"/>
      <c r="N33" s="41"/>
      <c r="O33" s="41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2</v>
      </c>
      <c r="B37" s="64">
        <f>IFERROR((B33/H28)*100, "")</f>
        <v>84.052134220232404</v>
      </c>
      <c r="C37" s="62">
        <f>IFERROR(SUM(C31) + (C33), " ")</f>
        <v>16.100000000000001</v>
      </c>
      <c r="D37" s="62">
        <f>SUM(D33 - D29 )</f>
        <v>1.3000000000000007</v>
      </c>
      <c r="E37" s="62">
        <f>SUM(E33 - E29)</f>
        <v>0</v>
      </c>
      <c r="F37" s="58" t="s">
        <v>367</v>
      </c>
      <c r="G37" s="58" t="s">
        <v>390</v>
      </c>
      <c r="I37" s="58">
        <v>8</v>
      </c>
      <c r="J37" s="58">
        <v>8</v>
      </c>
      <c r="K37" s="41"/>
      <c r="L37" s="41"/>
      <c r="M37" s="41"/>
      <c r="N37" s="41"/>
      <c r="O37" s="41"/>
    </row>
    <row r="38" spans="1:15" s="38" customFormat="1" x14ac:dyDescent="0.25">
      <c r="C38" s="38" t="s">
        <v>34</v>
      </c>
      <c r="K38" s="41"/>
      <c r="L38" s="41"/>
      <c r="M38" s="41"/>
      <c r="N38" s="41"/>
      <c r="O38" s="41"/>
    </row>
    <row r="39" spans="1:15" s="38" customFormat="1" x14ac:dyDescent="0.25">
      <c r="K39" s="41"/>
      <c r="L39" s="41"/>
      <c r="M39" s="41"/>
      <c r="N39" s="41"/>
      <c r="O39" s="41"/>
    </row>
    <row r="40" spans="1:15" s="38" customFormat="1" x14ac:dyDescent="0.25">
      <c r="K40" s="41"/>
      <c r="L40" s="41"/>
      <c r="M40" s="41"/>
      <c r="N40" s="41"/>
      <c r="O40" s="41"/>
    </row>
    <row r="41" spans="1:15" s="38" customFormat="1" x14ac:dyDescent="0.25">
      <c r="K41" s="41"/>
      <c r="L41" s="41"/>
      <c r="M41" s="41"/>
      <c r="N41" s="41"/>
      <c r="O41" s="41"/>
    </row>
    <row r="42" spans="1:15" s="38" customFormat="1" x14ac:dyDescent="0.25">
      <c r="K42" s="41"/>
      <c r="L42" s="41"/>
      <c r="M42" s="41"/>
      <c r="N42" s="41"/>
      <c r="O42" s="41"/>
    </row>
    <row r="43" spans="1:15" s="38" customFormat="1" x14ac:dyDescent="0.25">
      <c r="K43" s="41"/>
      <c r="L43" s="41"/>
      <c r="M43" s="41"/>
      <c r="N43" s="41"/>
      <c r="O43" s="41"/>
    </row>
    <row r="44" spans="1:15" s="38" customFormat="1" x14ac:dyDescent="0.25">
      <c r="K44" s="41"/>
      <c r="L44" s="41"/>
      <c r="M44" s="41"/>
      <c r="N44" s="41"/>
      <c r="O44" s="41"/>
    </row>
    <row r="45" spans="1:15" s="38" customFormat="1" x14ac:dyDescent="0.25">
      <c r="K45" s="41"/>
      <c r="L45" s="41"/>
      <c r="M45" s="41"/>
      <c r="N45" s="41"/>
      <c r="O45" s="41"/>
    </row>
    <row r="46" spans="1:15" s="38" customFormat="1" x14ac:dyDescent="0.25">
      <c r="K46" s="41"/>
      <c r="L46" s="41"/>
      <c r="M46" s="41"/>
      <c r="N46" s="41"/>
      <c r="O46" s="41"/>
    </row>
    <row r="47" spans="1:15" s="38" customFormat="1" x14ac:dyDescent="0.25">
      <c r="K47" s="41"/>
      <c r="L47" s="41"/>
      <c r="M47" s="41"/>
      <c r="N47" s="41"/>
      <c r="O47" s="41"/>
    </row>
    <row r="48" spans="1:15" s="38" customFormat="1" x14ac:dyDescent="0.25">
      <c r="K48" s="41"/>
      <c r="L48" s="41"/>
      <c r="M48" s="41"/>
      <c r="N48" s="41"/>
      <c r="O48" s="41"/>
    </row>
  </sheetData>
  <sheetProtection algorithmName="SHA-512" hashValue="LxKdrdMhxsA/+/iua21XBMvKvtxzsUdLBBkGgAVm+4MLg5w654aSadYVwkLndEOZx9AttbusIOfxEdeKWO136A==" saltValue="ZUK4bhfYWPEbcx7PYDGVYw==" spinCount="100000" sheet="1" objects="1" scenarios="1" formatCells="0" selectLockedCells="1"/>
  <mergeCells count="29">
    <mergeCell ref="A34:A36"/>
    <mergeCell ref="B34:B36"/>
    <mergeCell ref="C34:C36"/>
    <mergeCell ref="D34:D36"/>
    <mergeCell ref="E34:E36"/>
    <mergeCell ref="A30:A32"/>
    <mergeCell ref="D8:G8"/>
    <mergeCell ref="G24:G25"/>
    <mergeCell ref="B30:B32"/>
    <mergeCell ref="D30:D32"/>
    <mergeCell ref="E30:E32"/>
    <mergeCell ref="F30:F32"/>
    <mergeCell ref="C24:C25"/>
    <mergeCell ref="D24:D25"/>
    <mergeCell ref="E24:E25"/>
    <mergeCell ref="F24:F25"/>
    <mergeCell ref="A24:B25"/>
    <mergeCell ref="G30:G32"/>
    <mergeCell ref="A26:A28"/>
    <mergeCell ref="B26:B28"/>
    <mergeCell ref="D26:D28"/>
    <mergeCell ref="I35:J35"/>
    <mergeCell ref="B6:C6"/>
    <mergeCell ref="E26:E28"/>
    <mergeCell ref="F26:F28"/>
    <mergeCell ref="G26:G28"/>
    <mergeCell ref="D7:G7"/>
    <mergeCell ref="G34:G36"/>
    <mergeCell ref="F34:F36"/>
  </mergeCells>
  <dataValidations count="2">
    <dataValidation type="whole" operator="lessThanOrEqual" allowBlank="1" showInputMessage="1" showErrorMessage="1" sqref="H12">
      <formula1>5</formula1>
    </dataValidation>
    <dataValidation type="textLength" errorStyle="information" operator="lessThan" allowBlank="1" showInputMessage="1" showErrorMessage="1" errorTitle="Validación de Datos" error="Lo sentimos, esta celda solo acapta una cantidad de 5 caracteres." sqref="A22:G22 A20:G20 A10:G10 A14:G14 A12:G12 A8:C8 A16:G16 A18:G18">
      <formula1>7</formula1>
    </dataValidation>
  </dataValidations>
  <pageMargins left="0.7" right="0.7" top="0.75" bottom="0.75" header="0.3" footer="0.3"/>
  <pageSetup paperSize="9" scale="6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MPRIMIR">
                <anchor moveWithCells="1" sizeWithCells="1">
                  <from>
                    <xdr:col>1</xdr:col>
                    <xdr:colOff>485775</xdr:colOff>
                    <xdr:row>42</xdr:row>
                    <xdr:rowOff>28575</xdr:rowOff>
                  </from>
                  <to>
                    <xdr:col>2</xdr:col>
                    <xdr:colOff>1304925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Copiar12">
                <anchor moveWithCells="1" sizeWithCells="1">
                  <from>
                    <xdr:col>4</xdr:col>
                    <xdr:colOff>209550</xdr:colOff>
                    <xdr:row>42</xdr:row>
                    <xdr:rowOff>38100</xdr:rowOff>
                  </from>
                  <to>
                    <xdr:col>5</xdr:col>
                    <xdr:colOff>666750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9" tint="-0.249977111117893"/>
  </sheetPr>
  <dimension ref="A1:O48"/>
  <sheetViews>
    <sheetView showGridLines="0" showRowColHeaders="0" topLeftCell="A16" zoomScaleNormal="100" zoomScaleSheetLayoutView="100" workbookViewId="0">
      <selection activeCell="B6" sqref="B6:C6"/>
    </sheetView>
  </sheetViews>
  <sheetFormatPr baseColWidth="10" defaultColWidth="0" defaultRowHeight="15" zeroHeight="1" x14ac:dyDescent="0.25"/>
  <cols>
    <col min="1" max="1" width="16.7109375" bestFit="1" customWidth="1"/>
    <col min="2" max="2" width="14.42578125" bestFit="1" customWidth="1"/>
    <col min="3" max="3" width="22" bestFit="1" customWidth="1"/>
    <col min="4" max="4" width="13.7109375" bestFit="1" customWidth="1"/>
    <col min="5" max="5" width="17.7109375" bestFit="1" customWidth="1"/>
    <col min="6" max="6" width="12.42578125" bestFit="1" customWidth="1"/>
    <col min="7" max="7" width="18.7109375" bestFit="1" customWidth="1"/>
    <col min="8" max="8" width="10.5703125" bestFit="1" customWidth="1"/>
    <col min="9" max="9" width="22.5703125" bestFit="1" customWidth="1"/>
    <col min="10" max="10" width="11.42578125" customWidth="1"/>
    <col min="11" max="16384" width="11.42578125" hidden="1"/>
  </cols>
  <sheetData>
    <row r="1" spans="1:15" s="38" customFormat="1" x14ac:dyDescent="0.25">
      <c r="H1" s="44"/>
      <c r="I1" s="44"/>
      <c r="J1" s="44"/>
      <c r="K1" s="41"/>
      <c r="L1" s="41"/>
      <c r="M1" s="41"/>
      <c r="N1" s="41"/>
      <c r="O1" s="41"/>
    </row>
    <row r="2" spans="1:15" s="38" customFormat="1" x14ac:dyDescent="0.25">
      <c r="H2" s="44"/>
      <c r="I2" s="44"/>
      <c r="J2" s="44"/>
      <c r="K2" s="41"/>
      <c r="L2" s="41"/>
      <c r="M2" s="41"/>
      <c r="N2" s="41"/>
      <c r="O2" s="41"/>
    </row>
    <row r="3" spans="1:15" s="38" customFormat="1" x14ac:dyDescent="0.25">
      <c r="H3" s="44"/>
      <c r="I3" s="44"/>
      <c r="J3" s="44"/>
      <c r="K3" s="41"/>
      <c r="L3" s="41"/>
      <c r="M3" s="41"/>
      <c r="N3" s="41"/>
      <c r="O3" s="41"/>
    </row>
    <row r="4" spans="1:15" s="38" customFormat="1" x14ac:dyDescent="0.25">
      <c r="H4" s="44"/>
      <c r="I4" s="44"/>
      <c r="J4" s="44"/>
      <c r="K4" s="41"/>
      <c r="L4" s="41"/>
      <c r="M4" s="41"/>
      <c r="N4" s="41"/>
      <c r="O4" s="41"/>
    </row>
    <row r="5" spans="1:15" s="38" customFormat="1" ht="12" customHeight="1" x14ac:dyDescent="0.25">
      <c r="H5" s="44"/>
      <c r="I5" s="44"/>
      <c r="J5" s="44"/>
      <c r="K5" s="41"/>
      <c r="L5" s="41"/>
      <c r="M5" s="41"/>
      <c r="N5" s="41"/>
      <c r="O5" s="41"/>
    </row>
    <row r="6" spans="1:15" s="38" customFormat="1" ht="18" customHeight="1" x14ac:dyDescent="0.25">
      <c r="A6" s="45" t="s">
        <v>141</v>
      </c>
      <c r="B6" s="319" t="s">
        <v>391</v>
      </c>
      <c r="C6" s="319"/>
      <c r="D6" s="1"/>
      <c r="E6" s="1"/>
      <c r="F6" s="1"/>
      <c r="G6" s="1"/>
      <c r="H6" s="44"/>
      <c r="I6" s="44"/>
      <c r="J6" s="44"/>
      <c r="K6" s="41"/>
      <c r="L6" s="41"/>
      <c r="M6" s="41"/>
      <c r="N6" s="41"/>
      <c r="O6" s="41"/>
    </row>
    <row r="7" spans="1:15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4"/>
      <c r="L7" s="44"/>
      <c r="M7" s="44"/>
      <c r="N7" s="44"/>
      <c r="O7" s="44"/>
    </row>
    <row r="8" spans="1:15" s="38" customFormat="1" x14ac:dyDescent="0.25">
      <c r="A8" s="59" t="s">
        <v>2</v>
      </c>
      <c r="B8" s="58" t="s">
        <v>410</v>
      </c>
      <c r="C8" s="60">
        <v>78486</v>
      </c>
      <c r="D8" s="323">
        <v>46082</v>
      </c>
      <c r="E8" s="324"/>
      <c r="F8" s="324"/>
      <c r="G8" s="325"/>
      <c r="H8" s="44"/>
      <c r="I8" s="44"/>
      <c r="J8" s="44"/>
      <c r="K8" s="57" t="s">
        <v>173</v>
      </c>
      <c r="L8" s="57" t="s">
        <v>174</v>
      </c>
      <c r="M8" s="57" t="s">
        <v>175</v>
      </c>
      <c r="N8" s="57" t="s">
        <v>176</v>
      </c>
      <c r="O8" s="44"/>
    </row>
    <row r="9" spans="1:15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54">
        <v>0</v>
      </c>
      <c r="L9" s="54">
        <v>83358</v>
      </c>
      <c r="M9" s="54">
        <v>84820</v>
      </c>
      <c r="N9" s="54">
        <v>0</v>
      </c>
      <c r="O9" s="44"/>
    </row>
    <row r="10" spans="1:15" s="38" customFormat="1" x14ac:dyDescent="0.25">
      <c r="A10" s="58" t="s">
        <v>412</v>
      </c>
      <c r="B10" s="58" t="s">
        <v>413</v>
      </c>
      <c r="C10" s="83" t="str">
        <f>IF(A29="",1,IF(A29&gt;0,10&amp;A29*10,11&amp;ABS(A29)*10))</f>
        <v>10290</v>
      </c>
      <c r="D10" s="83" t="str">
        <f>IF(B29="",2,IF(B29&gt;0,20&amp;ROUND(B29*10,0),21&amp;ROUND(ABS(B29)*10,0)))</f>
        <v>20218</v>
      </c>
      <c r="E10" s="84" t="str">
        <f>IF(C31="",4,IF(AND(C37&lt;1000,C37&gt;800),4&amp;C37*10,40&amp;TEXT((C37-INT(C37/1000)*1000)*10,"000")))</f>
        <v>40171</v>
      </c>
      <c r="F10" s="58" t="s">
        <v>414</v>
      </c>
      <c r="G10" s="58"/>
      <c r="H10" s="44"/>
      <c r="I10" s="44"/>
      <c r="J10" s="44"/>
      <c r="K10" s="54" t="str">
        <f>IFERROR(INDEX(FORMULAS!$P$30:$P$50, MATCH(VALUE(MID($K$9,4,2)), FORMULAS!$Q$30:$Q$50, 0)), "")</f>
        <v/>
      </c>
      <c r="L10" s="54">
        <f>IFERROR(INDEX(FORMULAS!$N$30:$N$42, MATCH(VALUE(MID($L$9,4,2)), FORMULAS!$O$30:$O$42, 0)), "")</f>
        <v>2438</v>
      </c>
      <c r="M10" s="54">
        <f>IFERROR(INDEX(FORMULAS!$L$30:$L$77, MATCH(VALUE(MID($M$9,4,2)), FORMULAS!$M$30:$M$77, 0)), "")</f>
        <v>610</v>
      </c>
      <c r="N10" s="54" t="str">
        <f>IFERROR(INDEX(FORMULAS!$L$30:$L$77, MATCH(VALUE(MID($N$9,4,2)), FORMULAS!$M$30:$M$77, 0)), "")</f>
        <v/>
      </c>
      <c r="O10" s="44"/>
    </row>
    <row r="11" spans="1:15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4"/>
      <c r="L11" s="44"/>
      <c r="M11" s="44"/>
      <c r="N11" s="44"/>
      <c r="O11" s="44"/>
    </row>
    <row r="12" spans="1:15" s="38" customFormat="1" x14ac:dyDescent="0.25">
      <c r="A12" s="58" t="s">
        <v>415</v>
      </c>
      <c r="B12" s="58" t="s">
        <v>37</v>
      </c>
      <c r="C12" s="58"/>
      <c r="D12" s="58" t="s">
        <v>36</v>
      </c>
      <c r="E12" s="58" t="s">
        <v>35</v>
      </c>
      <c r="F12" s="58" t="s">
        <v>360</v>
      </c>
      <c r="G12" s="58"/>
      <c r="H12" s="44"/>
      <c r="I12" s="44"/>
      <c r="J12" s="44"/>
      <c r="K12" s="55" t="s">
        <v>416</v>
      </c>
      <c r="L12" s="56"/>
      <c r="M12" s="44"/>
      <c r="N12" s="44"/>
      <c r="O12" s="44"/>
    </row>
    <row r="13" spans="1:15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4"/>
      <c r="L13" s="44"/>
      <c r="M13" s="44"/>
      <c r="N13" s="44"/>
      <c r="O13" s="44"/>
    </row>
    <row r="14" spans="1:15" s="38" customFormat="1" x14ac:dyDescent="0.25">
      <c r="A14" s="58"/>
      <c r="B14" s="58" t="s">
        <v>416</v>
      </c>
      <c r="C14" s="83" t="str">
        <f>IF(E33=0, "58",IF(E37 &gt;= 0, CONCATENATE("58",TEXT(ABS(E37*10),"000")),CONCATENATE("59",TEXT(ABS(E37)*10,"000"))))</f>
        <v>58000</v>
      </c>
      <c r="D14" s="58" t="s">
        <v>17</v>
      </c>
      <c r="E14" s="58" t="s">
        <v>18</v>
      </c>
      <c r="F14" s="58" t="s">
        <v>417</v>
      </c>
      <c r="G14" s="58" t="s">
        <v>418</v>
      </c>
      <c r="H14" s="44"/>
      <c r="I14" s="44"/>
      <c r="J14" s="44"/>
      <c r="K14" s="44"/>
      <c r="L14" s="44"/>
      <c r="M14" s="44"/>
      <c r="N14" s="44"/>
      <c r="O14" s="44"/>
    </row>
    <row r="15" spans="1:15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4"/>
      <c r="L15" s="44"/>
      <c r="M15" s="44"/>
      <c r="N15" s="44"/>
      <c r="O15" s="44"/>
    </row>
    <row r="16" spans="1:15" s="38" customFormat="1" x14ac:dyDescent="0.25">
      <c r="A16" s="58" t="s">
        <v>172</v>
      </c>
      <c r="B16" s="58" t="s">
        <v>172</v>
      </c>
      <c r="C16" s="58" t="s">
        <v>419</v>
      </c>
      <c r="D16" s="58" t="s">
        <v>420</v>
      </c>
      <c r="E16" s="58" t="s">
        <v>421</v>
      </c>
      <c r="F16" s="58" t="s">
        <v>422</v>
      </c>
      <c r="G16" s="58" t="s">
        <v>423</v>
      </c>
      <c r="H16" s="44"/>
      <c r="I16" s="44"/>
      <c r="J16" s="44"/>
      <c r="K16" s="44"/>
      <c r="L16" s="44"/>
      <c r="M16" s="44"/>
      <c r="N16" s="44"/>
      <c r="O16" s="44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4"/>
      <c r="L17" s="44"/>
      <c r="M17" s="44"/>
      <c r="N17" s="44"/>
      <c r="O17" s="44"/>
    </row>
    <row r="18" spans="1:15" s="38" customFormat="1" x14ac:dyDescent="0.25">
      <c r="A18" s="58" t="s">
        <v>19</v>
      </c>
      <c r="B18" s="58" t="s">
        <v>19</v>
      </c>
      <c r="C18" s="58" t="s">
        <v>19</v>
      </c>
      <c r="D18" s="58" t="s">
        <v>19</v>
      </c>
      <c r="E18" s="58" t="s">
        <v>19</v>
      </c>
      <c r="F18" s="58" t="s">
        <v>19</v>
      </c>
      <c r="G18" s="58" t="s">
        <v>19</v>
      </c>
      <c r="H18" s="44"/>
      <c r="I18" s="44"/>
      <c r="J18" s="44"/>
      <c r="K18" s="44"/>
      <c r="L18" s="44"/>
      <c r="M18" s="44"/>
      <c r="N18" s="44"/>
      <c r="O18" s="44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4"/>
      <c r="I19" s="44"/>
      <c r="J19" s="44"/>
      <c r="K19" s="44"/>
      <c r="L19" s="44"/>
      <c r="M19" s="44"/>
      <c r="N19" s="44"/>
      <c r="O19" s="44"/>
    </row>
    <row r="20" spans="1:15" s="38" customFormat="1" x14ac:dyDescent="0.25">
      <c r="A20" s="58" t="s">
        <v>19</v>
      </c>
      <c r="B20" s="58" t="s">
        <v>19</v>
      </c>
      <c r="C20" s="58" t="s">
        <v>19</v>
      </c>
      <c r="D20" s="58" t="s">
        <v>19</v>
      </c>
      <c r="E20" s="58" t="s">
        <v>19</v>
      </c>
      <c r="F20" s="58" t="s">
        <v>19</v>
      </c>
      <c r="G20" s="58" t="s">
        <v>19</v>
      </c>
      <c r="H20" s="41"/>
      <c r="I20"/>
      <c r="J20"/>
      <c r="K20" s="44"/>
      <c r="L20" s="44"/>
      <c r="M20" s="44"/>
      <c r="N20" s="44"/>
      <c r="O20" s="44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4"/>
      <c r="L21" s="44"/>
      <c r="M21" s="44"/>
      <c r="N21" s="44"/>
      <c r="O21" s="44"/>
    </row>
    <row r="22" spans="1:15" s="38" customFormat="1" x14ac:dyDescent="0.25">
      <c r="A22" s="58" t="s">
        <v>19</v>
      </c>
      <c r="B22" s="58" t="s">
        <v>19</v>
      </c>
      <c r="C22" s="58" t="s">
        <v>19</v>
      </c>
      <c r="D22" s="58" t="s">
        <v>21</v>
      </c>
      <c r="E22" s="58" t="s">
        <v>21</v>
      </c>
      <c r="F22" s="58" t="s">
        <v>22</v>
      </c>
      <c r="G22" s="83" t="str">
        <f>IF(B37=100,"29100",290&amp;TEXT(B37,0))</f>
        <v>29065</v>
      </c>
      <c r="H22" s="41"/>
      <c r="K22" s="44"/>
      <c r="L22" s="44"/>
      <c r="M22" s="44"/>
      <c r="N22" s="44"/>
      <c r="O22" s="44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4"/>
      <c r="L23" s="44"/>
      <c r="M23" s="44"/>
      <c r="N23" s="44"/>
      <c r="O23" s="44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4"/>
      <c r="L24" s="44"/>
      <c r="M24" s="44"/>
      <c r="N24" s="44"/>
      <c r="O24" s="44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4"/>
      <c r="L25" s="44"/>
      <c r="M25" s="44"/>
      <c r="N25" s="44"/>
      <c r="O25" s="44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29.475662961661182</v>
      </c>
      <c r="K26" s="44"/>
      <c r="L26" s="44"/>
      <c r="M26" s="44"/>
      <c r="N26" s="44"/>
      <c r="O26" s="44"/>
    </row>
    <row r="27" spans="1:15" s="38" customFormat="1" x14ac:dyDescent="0.25">
      <c r="A27" s="317"/>
      <c r="B27" s="317"/>
      <c r="C27" s="58"/>
      <c r="D27" s="317"/>
      <c r="E27" s="317"/>
      <c r="F27" s="317"/>
      <c r="G27" s="317"/>
      <c r="H27" s="47">
        <f>0.00066*1000*(1+0.00115*A33)</f>
        <v>0.67806420000000001</v>
      </c>
      <c r="K27" s="44"/>
      <c r="L27" s="44"/>
      <c r="M27" s="44"/>
      <c r="N27" s="44"/>
      <c r="O27" s="44"/>
    </row>
    <row r="28" spans="1:15" s="38" customFormat="1" x14ac:dyDescent="0.25">
      <c r="A28" s="318"/>
      <c r="B28" s="318"/>
      <c r="C28" s="33" t="s">
        <v>43</v>
      </c>
      <c r="D28" s="318"/>
      <c r="E28" s="318"/>
      <c r="F28" s="318"/>
      <c r="G28" s="318"/>
      <c r="H28" s="46">
        <f>6.112*EXP((17.67*A29)/(A29+243.5))</f>
        <v>40.074135094204031</v>
      </c>
      <c r="K28" s="44"/>
      <c r="L28" s="44"/>
      <c r="M28" s="44"/>
      <c r="N28" s="44"/>
      <c r="O28" s="44"/>
    </row>
    <row r="29" spans="1:15" s="38" customFormat="1" x14ac:dyDescent="0.25">
      <c r="A29" s="58" t="s">
        <v>411</v>
      </c>
      <c r="B29" s="62">
        <f xml:space="preserve"> IFERROR((A29 - (14.55 + 0.114 * A29) * (1 - (0.01 * B37)) - ((2.5 + 0.007 * A29) * (1 - (0.01 * B37))) ^ 3 - (15.9 + 0.117 *A29) * (1 - (0.01 * B37)) ^ 14),"")</f>
        <v>21.841838899119494</v>
      </c>
      <c r="C29" s="58"/>
      <c r="D29" s="65">
        <f>'1200Z'!C31</f>
        <v>14.5</v>
      </c>
      <c r="E29" s="61">
        <v>15.5</v>
      </c>
      <c r="F29" s="58"/>
      <c r="G29" s="58"/>
      <c r="H29" s="41"/>
      <c r="K29" s="44"/>
      <c r="L29" s="44"/>
      <c r="M29" s="44"/>
      <c r="N29" s="44"/>
      <c r="O29" s="44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4"/>
      <c r="L30" s="44"/>
      <c r="M30" s="44"/>
      <c r="N30" s="44"/>
      <c r="O30" s="44"/>
    </row>
    <row r="31" spans="1:15" s="38" customFormat="1" x14ac:dyDescent="0.25">
      <c r="A31" s="317"/>
      <c r="B31" s="317"/>
      <c r="C31" s="61">
        <v>15.5</v>
      </c>
      <c r="D31" s="317"/>
      <c r="E31" s="317"/>
      <c r="F31" s="317"/>
      <c r="G31" s="317"/>
      <c r="H31" s="41"/>
      <c r="K31" s="44"/>
      <c r="L31" s="44"/>
      <c r="M31" s="44"/>
      <c r="N31" s="44"/>
      <c r="O31" s="44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4"/>
      <c r="L32" s="44"/>
      <c r="M32" s="44"/>
      <c r="N32" s="44"/>
      <c r="O32" s="44"/>
    </row>
    <row r="33" spans="1:15" s="38" customFormat="1" x14ac:dyDescent="0.25">
      <c r="A33" s="61">
        <v>23.8</v>
      </c>
      <c r="B33" s="62">
        <f>IF(ROUND(H26-H27*(A29-A33), 1) = 6.1, "  ", H26-H27*(A29-A33))</f>
        <v>25.949729121661182</v>
      </c>
      <c r="C33" s="62">
        <f>IF(C8="","",VLOOKUP(C8,FORMULAS!O:T,3,FALSE))</f>
        <v>1.6</v>
      </c>
      <c r="D33" s="62">
        <f>C31</f>
        <v>15.5</v>
      </c>
      <c r="E33" s="62">
        <f>C31</f>
        <v>15.5</v>
      </c>
      <c r="F33" s="63"/>
      <c r="G33" s="63"/>
      <c r="H33" s="41">
        <f>IFERROR(VLOOKUP(VALUE(RIGHT(A10, 2)), FORMULAS!$S$30:$T$70, 2, FALSE), IFERROR(VLOOKUP(VALUE(RIGHT(A10, 2)), FORMULAS!$U$30:$V$64, 2, FALSE), " "))</f>
        <v>160</v>
      </c>
      <c r="K33" s="44"/>
      <c r="L33" s="44"/>
      <c r="M33" s="44"/>
      <c r="N33" s="44"/>
      <c r="O33" s="44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5.1999999999999993</v>
      </c>
      <c r="B37" s="64">
        <f>IFERROR((B33/H28)*100, "")</f>
        <v>64.754308634883856</v>
      </c>
      <c r="C37" s="62">
        <f>IFERROR(SUM(C31) + (C33), " ")</f>
        <v>17.100000000000001</v>
      </c>
      <c r="D37" s="62">
        <f>SUM(D33 - D29 )</f>
        <v>1</v>
      </c>
      <c r="E37" s="62">
        <f>SUM(E33 - E29)</f>
        <v>0</v>
      </c>
      <c r="F37" s="58" t="s">
        <v>367</v>
      </c>
      <c r="G37" s="58"/>
      <c r="I37" s="58">
        <v>8</v>
      </c>
      <c r="J37" s="58">
        <v>8</v>
      </c>
      <c r="K37" s="41"/>
      <c r="L37" s="41"/>
      <c r="M37" s="41"/>
      <c r="N37" s="41"/>
      <c r="O37" s="41"/>
    </row>
    <row r="38" spans="1:15" s="38" customFormat="1" x14ac:dyDescent="0.25">
      <c r="C38" s="38" t="s">
        <v>34</v>
      </c>
      <c r="K38" s="41"/>
      <c r="L38" s="41"/>
      <c r="M38" s="41"/>
      <c r="N38" s="41"/>
      <c r="O38" s="41"/>
    </row>
    <row r="39" spans="1:15" s="38" customFormat="1" x14ac:dyDescent="0.25">
      <c r="K39" s="41"/>
      <c r="L39" s="41"/>
      <c r="M39" s="41"/>
      <c r="N39" s="41"/>
      <c r="O39" s="41"/>
    </row>
    <row r="40" spans="1:15" s="38" customFormat="1" x14ac:dyDescent="0.25">
      <c r="K40" s="41"/>
      <c r="L40" s="41"/>
      <c r="M40" s="41"/>
      <c r="N40" s="41"/>
      <c r="O40" s="41"/>
    </row>
    <row r="41" spans="1:15" s="38" customFormat="1" x14ac:dyDescent="0.25">
      <c r="K41" s="41"/>
      <c r="L41" s="41"/>
      <c r="M41" s="41"/>
      <c r="N41" s="41"/>
      <c r="O41" s="41"/>
    </row>
    <row r="42" spans="1:15" s="38" customFormat="1" x14ac:dyDescent="0.25">
      <c r="K42" s="41"/>
      <c r="L42" s="41"/>
      <c r="M42" s="41"/>
      <c r="N42" s="41"/>
      <c r="O42" s="41"/>
    </row>
    <row r="43" spans="1:15" s="38" customFormat="1" x14ac:dyDescent="0.25">
      <c r="K43" s="41"/>
      <c r="L43" s="41"/>
      <c r="M43" s="41"/>
      <c r="N43" s="41"/>
      <c r="O43" s="41"/>
    </row>
    <row r="44" spans="1:15" s="38" customFormat="1" x14ac:dyDescent="0.25">
      <c r="K44" s="41"/>
      <c r="L44" s="41"/>
      <c r="M44" s="41"/>
      <c r="N44" s="41"/>
      <c r="O44" s="41"/>
    </row>
    <row r="45" spans="1:15" s="38" customFormat="1" x14ac:dyDescent="0.25">
      <c r="K45" s="41"/>
      <c r="L45" s="41"/>
      <c r="M45" s="41"/>
      <c r="N45" s="41"/>
      <c r="O45" s="41"/>
    </row>
    <row r="46" spans="1:15" s="38" customFormat="1" x14ac:dyDescent="0.25">
      <c r="K46" s="41"/>
      <c r="L46" s="41"/>
      <c r="M46" s="41"/>
      <c r="N46" s="41"/>
      <c r="O46" s="41"/>
    </row>
    <row r="47" spans="1:15" s="38" customFormat="1" x14ac:dyDescent="0.25">
      <c r="K47" s="41"/>
      <c r="L47" s="41"/>
      <c r="M47" s="41"/>
      <c r="N47" s="41"/>
      <c r="O47" s="41"/>
    </row>
    <row r="48" spans="1:15" s="38" customFormat="1" x14ac:dyDescent="0.25">
      <c r="K48" s="41"/>
      <c r="L48" s="41"/>
      <c r="M48" s="41"/>
      <c r="N48" s="41"/>
      <c r="O48" s="41"/>
    </row>
  </sheetData>
  <sheetProtection algorithmName="SHA-512" hashValue="CFDHY9Cunts3N1benLqj0PDr+h48c+PjPdyPy8CSinNRSrNDjz6W/HWNYpPCBfTVj4z+cZj6gW0Rb5OJHRvZog==" saltValue="nFlOPze6ehk8CjZA+Ai40A==" spinCount="100000" sheet="1" objects="1" scenarios="1" formatCells="0" selectLockedCells="1"/>
  <mergeCells count="29">
    <mergeCell ref="B6:C6"/>
    <mergeCell ref="A24:B25"/>
    <mergeCell ref="C24:C25"/>
    <mergeCell ref="D24:D25"/>
    <mergeCell ref="E24:E25"/>
    <mergeCell ref="D8:G8"/>
    <mergeCell ref="F24:F25"/>
    <mergeCell ref="G24:G25"/>
    <mergeCell ref="D7:G7"/>
    <mergeCell ref="F26:F28"/>
    <mergeCell ref="G26:G28"/>
    <mergeCell ref="A30:A32"/>
    <mergeCell ref="B30:B32"/>
    <mergeCell ref="D30:D32"/>
    <mergeCell ref="E30:E32"/>
    <mergeCell ref="F30:F32"/>
    <mergeCell ref="G30:G32"/>
    <mergeCell ref="A26:A28"/>
    <mergeCell ref="B26:B28"/>
    <mergeCell ref="D26:D28"/>
    <mergeCell ref="E26:E28"/>
    <mergeCell ref="I35:J35"/>
    <mergeCell ref="G34:G36"/>
    <mergeCell ref="A34:A36"/>
    <mergeCell ref="B34:B36"/>
    <mergeCell ref="C34:C36"/>
    <mergeCell ref="D34:D36"/>
    <mergeCell ref="E34:E36"/>
    <mergeCell ref="F34:F36"/>
  </mergeCells>
  <dataValidations count="2">
    <dataValidation type="textLength" errorStyle="information" operator="lessThan" allowBlank="1" showInputMessage="1" showErrorMessage="1" errorTitle="Validación de Datos" error="Lo sentimos, esta celda solo acapta una cantidad de 5 caracteres." sqref="A22:G22 A20:G20 A10:G10 A18:G18 A12:G12 A8:C8 A16:G16 A14:B14 D14:G14">
      <formula1>7</formula1>
    </dataValidation>
    <dataValidation type="whole" operator="lessThanOrEqual" allowBlank="1" showInputMessage="1" showErrorMessage="1" sqref="H12">
      <formula1>5</formula1>
    </dataValidation>
  </dataValidations>
  <pageMargins left="0.7" right="0.7" top="0.75" bottom="0.75" header="0.3" footer="0.3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IMPRIMIR">
                <anchor moveWithCells="1" sizeWithCells="1">
                  <from>
                    <xdr:col>1</xdr:col>
                    <xdr:colOff>781050</xdr:colOff>
                    <xdr:row>42</xdr:row>
                    <xdr:rowOff>0</xdr:rowOff>
                  </from>
                  <to>
                    <xdr:col>3</xdr:col>
                    <xdr:colOff>419100</xdr:colOff>
                    <xdr:row>45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Copiar15">
                <anchor moveWithCells="1" sizeWithCells="1">
                  <from>
                    <xdr:col>4</xdr:col>
                    <xdr:colOff>219075</xdr:colOff>
                    <xdr:row>41</xdr:row>
                    <xdr:rowOff>171450</xdr:rowOff>
                  </from>
                  <to>
                    <xdr:col>6</xdr:col>
                    <xdr:colOff>276225</xdr:colOff>
                    <xdr:row>45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0000"/>
  </sheetPr>
  <dimension ref="A1:O48"/>
  <sheetViews>
    <sheetView showGridLines="0" showRowColHeaders="0" topLeftCell="A18" zoomScaleNormal="100" workbookViewId="0">
      <selection activeCell="F10" sqref="F10"/>
    </sheetView>
  </sheetViews>
  <sheetFormatPr baseColWidth="10" defaultColWidth="0" defaultRowHeight="15" zeroHeight="1" x14ac:dyDescent="0.25"/>
  <cols>
    <col min="1" max="1" width="16.7109375" bestFit="1" customWidth="1"/>
    <col min="2" max="2" width="14.42578125" bestFit="1" customWidth="1"/>
    <col min="3" max="3" width="22" bestFit="1" customWidth="1"/>
    <col min="4" max="4" width="13.7109375" bestFit="1" customWidth="1"/>
    <col min="5" max="5" width="17.7109375" bestFit="1" customWidth="1"/>
    <col min="6" max="6" width="12.42578125" bestFit="1" customWidth="1"/>
    <col min="7" max="7" width="18.7109375" bestFit="1" customWidth="1"/>
    <col min="8" max="8" width="10.5703125" bestFit="1" customWidth="1"/>
    <col min="9" max="9" width="22.5703125" bestFit="1" customWidth="1"/>
    <col min="10" max="10" width="11.42578125" customWidth="1"/>
    <col min="11" max="16384" width="11.42578125" hidden="1"/>
  </cols>
  <sheetData>
    <row r="1" spans="1:15" x14ac:dyDescent="0.25">
      <c r="A1" s="1"/>
      <c r="B1" s="1"/>
      <c r="C1" s="1"/>
      <c r="D1" s="1"/>
      <c r="E1" s="1"/>
      <c r="F1" s="1"/>
      <c r="G1" s="1"/>
      <c r="K1" s="39"/>
      <c r="L1" s="39"/>
      <c r="M1" s="39"/>
      <c r="N1" s="39"/>
      <c r="O1" s="39"/>
    </row>
    <row r="2" spans="1:15" ht="15" customHeight="1" x14ac:dyDescent="0.25">
      <c r="A2" s="1"/>
      <c r="B2" s="1"/>
      <c r="C2" s="1"/>
      <c r="D2" s="1"/>
      <c r="E2" s="1"/>
      <c r="F2" s="1"/>
      <c r="G2" s="1"/>
      <c r="K2" s="39"/>
      <c r="L2" s="39"/>
      <c r="M2" s="39"/>
      <c r="N2" s="39"/>
      <c r="O2" s="39"/>
    </row>
    <row r="3" spans="1:15" ht="15" customHeight="1" x14ac:dyDescent="0.25">
      <c r="A3" s="1"/>
      <c r="B3" s="1"/>
      <c r="C3" s="1"/>
      <c r="D3" s="1"/>
      <c r="E3" s="1"/>
      <c r="F3" s="1"/>
      <c r="G3" s="1"/>
      <c r="K3" s="39"/>
      <c r="L3" s="39"/>
      <c r="M3" s="39"/>
      <c r="N3" s="39"/>
      <c r="O3" s="39"/>
    </row>
    <row r="4" spans="1:15" ht="15" customHeight="1" x14ac:dyDescent="0.25">
      <c r="A4" s="1"/>
      <c r="B4" s="1"/>
      <c r="C4" s="1"/>
      <c r="D4" s="1"/>
      <c r="E4" s="1"/>
      <c r="F4" s="1"/>
      <c r="G4" s="1"/>
      <c r="K4" s="39"/>
      <c r="L4" s="39"/>
      <c r="M4" s="39"/>
      <c r="N4" s="39"/>
      <c r="O4" s="39"/>
    </row>
    <row r="5" spans="1:15" ht="12" customHeight="1" x14ac:dyDescent="0.25">
      <c r="A5" s="1"/>
      <c r="B5" s="1"/>
      <c r="C5" s="1"/>
      <c r="D5" s="1"/>
      <c r="E5" s="1"/>
      <c r="F5" s="1"/>
      <c r="G5" s="1"/>
      <c r="H5" s="40"/>
      <c r="I5" s="38"/>
      <c r="J5" s="38"/>
      <c r="K5" s="44"/>
      <c r="L5" s="44"/>
      <c r="M5" s="39"/>
      <c r="N5" s="39"/>
      <c r="O5" s="39"/>
    </row>
    <row r="6" spans="1:15" s="38" customFormat="1" ht="18" customHeight="1" x14ac:dyDescent="0.25">
      <c r="A6" s="45" t="s">
        <v>141</v>
      </c>
      <c r="B6" s="319" t="s">
        <v>391</v>
      </c>
      <c r="C6" s="319"/>
      <c r="D6" s="1"/>
      <c r="E6" s="1"/>
      <c r="F6" s="1"/>
      <c r="G6" s="1"/>
      <c r="H6" s="44"/>
      <c r="I6" s="44"/>
      <c r="J6" s="44"/>
      <c r="K6" s="41"/>
      <c r="L6" s="41"/>
      <c r="M6" s="41"/>
      <c r="N6" s="41"/>
      <c r="O6" s="41"/>
    </row>
    <row r="7" spans="1:15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1"/>
      <c r="L7" s="41"/>
      <c r="M7" s="41"/>
      <c r="N7" s="41"/>
      <c r="O7" s="41"/>
    </row>
    <row r="8" spans="1:15" s="38" customFormat="1" x14ac:dyDescent="0.25">
      <c r="A8" s="59" t="s">
        <v>2</v>
      </c>
      <c r="B8" s="58" t="s">
        <v>424</v>
      </c>
      <c r="C8" s="60">
        <v>78486</v>
      </c>
      <c r="D8" s="323">
        <v>46082</v>
      </c>
      <c r="E8" s="324"/>
      <c r="F8" s="324"/>
      <c r="G8" s="325"/>
      <c r="H8" s="44"/>
      <c r="I8" s="44"/>
      <c r="J8" s="44"/>
      <c r="K8" s="41" t="s">
        <v>173</v>
      </c>
      <c r="L8" s="41" t="s">
        <v>174</v>
      </c>
      <c r="M8" s="41" t="s">
        <v>175</v>
      </c>
      <c r="N8" s="41" t="s">
        <v>176</v>
      </c>
      <c r="O8" s="41"/>
    </row>
    <row r="9" spans="1:15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40">
        <v>0</v>
      </c>
      <c r="L9" s="40">
        <v>85358</v>
      </c>
      <c r="M9" s="40">
        <v>84820</v>
      </c>
      <c r="N9" s="40">
        <v>0</v>
      </c>
      <c r="O9" s="41"/>
    </row>
    <row r="10" spans="1:15" s="38" customFormat="1" x14ac:dyDescent="0.25">
      <c r="A10" s="58" t="s">
        <v>412</v>
      </c>
      <c r="B10" s="58" t="s">
        <v>427</v>
      </c>
      <c r="C10" s="83" t="str">
        <f>IF(A29="",1,IF(A29&gt;0,10&amp;A29*10,11&amp;ABS(A29)*10))</f>
        <v>10306</v>
      </c>
      <c r="D10" s="83" t="str">
        <f>IF(B29="",2,IF(B29&gt;0,20&amp;ROUND(B29*10,0),21&amp;ROUND(ABS(B29)*10,0)))</f>
        <v>20227</v>
      </c>
      <c r="E10" s="84" t="str">
        <f>IF(C31="",4,IF(AND(C37&lt;1000,C37&gt;800),4&amp;C37*10,40&amp;TEXT((C37-INT(C37/1000)*1000)*10,"000")))</f>
        <v>40154</v>
      </c>
      <c r="F10" s="661" t="s">
        <v>428</v>
      </c>
      <c r="G10" s="58" t="s">
        <v>8</v>
      </c>
      <c r="H10" s="44"/>
      <c r="I10" s="44"/>
      <c r="J10" s="44"/>
      <c r="K10" s="40" t="str">
        <f>IFERROR(INDEX(FORMULAS!$P$30:$P$50, MATCH(VALUE(MID($K$9,4,2)), FORMULAS!$Q$30:$Q$50, 0)), "")</f>
        <v/>
      </c>
      <c r="L10" s="40">
        <f>IFERROR(INDEX(FORMULAS!$N$30:$N$42, MATCH(VALUE(MID($L$9,4,2)), FORMULAS!$O$30:$O$42, 0)), "")</f>
        <v>2438</v>
      </c>
      <c r="M10" s="40">
        <f>IFERROR(INDEX(FORMULAS!$L$30:$L$77, MATCH(VALUE(MID($M$9,4,2)), FORMULAS!$M$30:$M$77, 0)), "")</f>
        <v>610</v>
      </c>
      <c r="N10" s="40" t="str">
        <f>IFERROR(INDEX(FORMULAS!$L$30:$L$77, MATCH(VALUE(MID($N$9,4,2)), FORMULAS!$M$30:$M$77, 0)), "")</f>
        <v/>
      </c>
      <c r="O10" s="41"/>
    </row>
    <row r="11" spans="1:15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1"/>
      <c r="L11" s="41"/>
      <c r="M11" s="41"/>
      <c r="N11" s="41"/>
      <c r="O11" s="41"/>
    </row>
    <row r="12" spans="1:15" s="38" customFormat="1" x14ac:dyDescent="0.25">
      <c r="A12" s="58" t="s">
        <v>415</v>
      </c>
      <c r="B12" s="58" t="s">
        <v>37</v>
      </c>
      <c r="C12" s="58"/>
      <c r="D12" s="58" t="s">
        <v>429</v>
      </c>
      <c r="E12" s="58" t="s">
        <v>401</v>
      </c>
      <c r="F12" s="58" t="s">
        <v>360</v>
      </c>
      <c r="G12" s="58"/>
      <c r="H12" s="44"/>
      <c r="I12" s="44"/>
      <c r="J12" s="44"/>
      <c r="K12" s="48" t="s">
        <v>416</v>
      </c>
      <c r="L12" s="42"/>
      <c r="M12" s="41"/>
      <c r="N12" s="41"/>
      <c r="O12" s="41"/>
    </row>
    <row r="13" spans="1:15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1"/>
      <c r="L13" s="41"/>
      <c r="M13" s="41"/>
      <c r="N13" s="41"/>
      <c r="O13" s="41"/>
    </row>
    <row r="14" spans="1:15" s="38" customFormat="1" x14ac:dyDescent="0.25">
      <c r="A14" s="58"/>
      <c r="B14" s="58" t="s">
        <v>416</v>
      </c>
      <c r="C14" s="83" t="str">
        <f>IF(E33=0, "58",IF(E37 &gt;= 0, CONCATENATE("58",TEXT(ABS(E37*10),"000")),CONCATENATE("59",TEXT(ABS(E37)*10,"000"))))</f>
        <v>59001</v>
      </c>
      <c r="D14" s="58" t="s">
        <v>17</v>
      </c>
      <c r="E14" s="58" t="s">
        <v>18</v>
      </c>
      <c r="F14" s="58" t="s">
        <v>417</v>
      </c>
      <c r="G14" s="58" t="s">
        <v>430</v>
      </c>
      <c r="H14" s="44"/>
      <c r="I14" s="44"/>
      <c r="J14" s="44"/>
      <c r="K14" s="41"/>
      <c r="L14" s="41"/>
      <c r="M14" s="41"/>
      <c r="N14" s="41"/>
      <c r="O14" s="41"/>
    </row>
    <row r="15" spans="1:15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1"/>
      <c r="L15" s="41"/>
      <c r="M15" s="41"/>
      <c r="N15" s="41"/>
      <c r="O15" s="41"/>
    </row>
    <row r="16" spans="1:15" s="38" customFormat="1" x14ac:dyDescent="0.25">
      <c r="A16" s="58" t="s">
        <v>172</v>
      </c>
      <c r="B16" s="58" t="s">
        <v>172</v>
      </c>
      <c r="C16" s="58" t="s">
        <v>431</v>
      </c>
      <c r="D16" s="58" t="s">
        <v>420</v>
      </c>
      <c r="E16" s="58" t="s">
        <v>421</v>
      </c>
      <c r="F16" s="58" t="s">
        <v>422</v>
      </c>
      <c r="G16" s="58" t="s">
        <v>432</v>
      </c>
      <c r="H16" s="44"/>
      <c r="I16" s="44"/>
      <c r="J16" s="44"/>
      <c r="K16" s="41"/>
      <c r="L16" s="41"/>
      <c r="M16" s="41"/>
      <c r="N16" s="41"/>
      <c r="O16" s="41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1"/>
      <c r="L17" s="41"/>
      <c r="M17" s="41"/>
      <c r="N17" s="41"/>
      <c r="O17" s="41"/>
    </row>
    <row r="18" spans="1:15" s="38" customFormat="1" x14ac:dyDescent="0.25">
      <c r="A18" s="58" t="s">
        <v>19</v>
      </c>
      <c r="B18" s="58" t="s">
        <v>19</v>
      </c>
      <c r="C18" s="58" t="s">
        <v>19</v>
      </c>
      <c r="D18" s="58" t="s">
        <v>19</v>
      </c>
      <c r="E18" s="58" t="s">
        <v>19</v>
      </c>
      <c r="F18" s="58" t="s">
        <v>19</v>
      </c>
      <c r="G18" s="58" t="s">
        <v>19</v>
      </c>
      <c r="H18" s="44"/>
      <c r="I18" s="44"/>
      <c r="J18" s="44"/>
      <c r="K18" s="41"/>
      <c r="L18" s="41"/>
      <c r="M18" s="41"/>
      <c r="N18" s="41"/>
      <c r="O18" s="41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4"/>
      <c r="I19" s="44"/>
      <c r="J19" s="44"/>
      <c r="K19" s="41"/>
      <c r="L19" s="41"/>
      <c r="M19" s="41"/>
      <c r="N19" s="41"/>
      <c r="O19" s="41"/>
    </row>
    <row r="20" spans="1:15" s="38" customFormat="1" x14ac:dyDescent="0.25">
      <c r="A20" s="58" t="s">
        <v>19</v>
      </c>
      <c r="B20" s="58" t="s">
        <v>19</v>
      </c>
      <c r="C20" s="58" t="s">
        <v>19</v>
      </c>
      <c r="D20" s="58" t="s">
        <v>19</v>
      </c>
      <c r="E20" s="58" t="s">
        <v>19</v>
      </c>
      <c r="F20" s="58" t="s">
        <v>19</v>
      </c>
      <c r="G20" s="58" t="s">
        <v>19</v>
      </c>
      <c r="H20" s="41"/>
      <c r="I20"/>
      <c r="J20"/>
      <c r="K20" s="41"/>
      <c r="L20" s="41"/>
      <c r="M20" s="41"/>
      <c r="N20" s="41"/>
      <c r="O20" s="41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1"/>
      <c r="L21" s="41"/>
      <c r="M21" s="41"/>
      <c r="N21" s="41"/>
      <c r="O21" s="41"/>
    </row>
    <row r="22" spans="1:15" s="38" customFormat="1" x14ac:dyDescent="0.25">
      <c r="A22" s="58" t="s">
        <v>19</v>
      </c>
      <c r="B22" s="58" t="s">
        <v>19</v>
      </c>
      <c r="C22" s="58" t="s">
        <v>19</v>
      </c>
      <c r="D22" s="58" t="s">
        <v>21</v>
      </c>
      <c r="E22" s="58" t="s">
        <v>21</v>
      </c>
      <c r="F22" s="58" t="s">
        <v>22</v>
      </c>
      <c r="G22" s="83" t="str">
        <f>IF(B37=100,"29100",290&amp;TEXT(B37,0))</f>
        <v>29062</v>
      </c>
      <c r="H22" s="41"/>
      <c r="K22" s="41"/>
      <c r="L22" s="41"/>
      <c r="M22" s="41"/>
      <c r="N22" s="41"/>
      <c r="O22" s="41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1"/>
      <c r="L23" s="41"/>
      <c r="M23" s="41"/>
      <c r="N23" s="41"/>
      <c r="O23" s="41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1"/>
      <c r="L24" s="41"/>
      <c r="M24" s="41"/>
      <c r="N24" s="41"/>
      <c r="O24" s="41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1"/>
      <c r="L25" s="41"/>
      <c r="M25" s="41"/>
      <c r="N25" s="41"/>
      <c r="O25" s="41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31.29818324621618</v>
      </c>
      <c r="K26" s="41"/>
      <c r="L26" s="41"/>
      <c r="M26" s="41"/>
      <c r="N26" s="41"/>
      <c r="O26" s="41"/>
    </row>
    <row r="27" spans="1:15" s="38" customFormat="1" x14ac:dyDescent="0.25">
      <c r="A27" s="317"/>
      <c r="B27" s="317"/>
      <c r="C27" s="58"/>
      <c r="D27" s="317"/>
      <c r="E27" s="317"/>
      <c r="F27" s="317"/>
      <c r="G27" s="317"/>
      <c r="H27" s="47">
        <f>0.00066*1000*(1+0.00115*A33)</f>
        <v>0.67882320000000007</v>
      </c>
      <c r="K27" s="41"/>
      <c r="L27" s="41"/>
      <c r="M27" s="41"/>
      <c r="N27" s="41"/>
      <c r="O27" s="41"/>
    </row>
    <row r="28" spans="1:15" s="38" customFormat="1" x14ac:dyDescent="0.25">
      <c r="A28" s="318"/>
      <c r="B28" s="318"/>
      <c r="C28" s="33" t="s">
        <v>43</v>
      </c>
      <c r="D28" s="318"/>
      <c r="E28" s="318"/>
      <c r="F28" s="318"/>
      <c r="G28" s="318"/>
      <c r="H28" s="46">
        <f>6.112*EXP((17.67*A29)/(A29+243.5))</f>
        <v>43.94325189885916</v>
      </c>
      <c r="K28" s="41"/>
      <c r="L28" s="41"/>
      <c r="M28" s="41"/>
      <c r="N28" s="41"/>
      <c r="O28" s="41"/>
    </row>
    <row r="29" spans="1:15" s="38" customFormat="1" x14ac:dyDescent="0.25">
      <c r="A29" s="58" t="s">
        <v>425</v>
      </c>
      <c r="B29" s="62">
        <f xml:space="preserve"> IFERROR((A29 - (14.55 + 0.114 * A29) * (1 - (0.01 * B37)) - ((2.5 + 0.007 * A29) * (1 - (0.01 * B37))) ^ 3 - (15.9 + 0.117 *A29) * (1 - (0.01 * B37)) ^ 14),"")</f>
        <v>22.718649417905155</v>
      </c>
      <c r="C29" s="58"/>
      <c r="D29" s="62">
        <f>'1500Z'!C31</f>
        <v>15.5</v>
      </c>
      <c r="E29" s="61">
        <v>13.9</v>
      </c>
      <c r="F29" s="58" t="s">
        <v>426</v>
      </c>
      <c r="G29" s="58"/>
      <c r="H29" s="41"/>
      <c r="K29" s="41"/>
      <c r="L29" s="41"/>
      <c r="M29" s="41"/>
      <c r="N29" s="41"/>
      <c r="O29" s="41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1"/>
      <c r="L30" s="41"/>
      <c r="M30" s="41"/>
      <c r="N30" s="41"/>
      <c r="O30" s="41"/>
    </row>
    <row r="31" spans="1:15" s="38" customFormat="1" x14ac:dyDescent="0.25">
      <c r="A31" s="317"/>
      <c r="B31" s="317"/>
      <c r="C31" s="61">
        <v>13.8</v>
      </c>
      <c r="D31" s="317"/>
      <c r="E31" s="317"/>
      <c r="F31" s="317"/>
      <c r="G31" s="317"/>
      <c r="H31" s="41"/>
      <c r="K31" s="41"/>
      <c r="L31" s="41"/>
      <c r="M31" s="41"/>
      <c r="N31" s="41"/>
      <c r="O31" s="41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1"/>
      <c r="L32" s="41"/>
      <c r="M32" s="41"/>
      <c r="N32" s="41"/>
      <c r="O32" s="41"/>
    </row>
    <row r="33" spans="1:15" s="38" customFormat="1" x14ac:dyDescent="0.25">
      <c r="A33" s="61">
        <v>24.8</v>
      </c>
      <c r="B33" s="62">
        <f>IF(ROUND(H26-H27*(A29-A33), 1) = 6.1, "  ", H26-H27*(A29-A33))</f>
        <v>27.361008686216181</v>
      </c>
      <c r="C33" s="62">
        <f>IF(C8="","",VLOOKUP(C8,FORMULAS!O:T,3,FALSE))</f>
        <v>1.6</v>
      </c>
      <c r="D33" s="62">
        <f>C31</f>
        <v>13.8</v>
      </c>
      <c r="E33" s="62">
        <f>C31</f>
        <v>13.8</v>
      </c>
      <c r="F33" s="63">
        <v>24</v>
      </c>
      <c r="G33" s="63"/>
      <c r="H33" s="41">
        <f>IFERROR(VLOOKUP(VALUE(RIGHT(A10, 2)), FORMULAS!$S$30:$T$70, 2, FALSE), IFERROR(VLOOKUP(VALUE(RIGHT(A10, 2)), FORMULAS!$U$30:$V$64, 2, FALSE), " "))</f>
        <v>160</v>
      </c>
      <c r="K33" s="41"/>
      <c r="L33" s="41"/>
      <c r="M33" s="41"/>
      <c r="N33" s="41"/>
      <c r="O33" s="41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5.8000000000000007</v>
      </c>
      <c r="B37" s="64">
        <f>IFERROR((B33/H28)*100, "")</f>
        <v>62.264414907642553</v>
      </c>
      <c r="C37" s="62">
        <f>IFERROR(SUM(C31) + (C33), " ")</f>
        <v>15.4</v>
      </c>
      <c r="D37" s="62">
        <f>SUM(D33 - D29 )</f>
        <v>-1.6999999999999993</v>
      </c>
      <c r="E37" s="62">
        <f>SUM(E33 - E29)</f>
        <v>-9.9999999999999645E-2</v>
      </c>
      <c r="F37" s="58" t="s">
        <v>367</v>
      </c>
      <c r="G37" s="58"/>
      <c r="I37" s="58">
        <v>8</v>
      </c>
      <c r="J37" s="58">
        <v>8</v>
      </c>
      <c r="K37" s="41"/>
      <c r="L37" s="41"/>
      <c r="M37" s="41"/>
      <c r="N37" s="41"/>
      <c r="O37" s="41"/>
    </row>
    <row r="38" spans="1:15" x14ac:dyDescent="0.25">
      <c r="B38" s="38"/>
      <c r="H38" s="38"/>
      <c r="I38" s="38"/>
    </row>
    <row r="39" spans="1:15" x14ac:dyDescent="0.25"/>
    <row r="40" spans="1:15" x14ac:dyDescent="0.25"/>
    <row r="41" spans="1:15" x14ac:dyDescent="0.25"/>
    <row r="42" spans="1:15" x14ac:dyDescent="0.25"/>
    <row r="43" spans="1:15" x14ac:dyDescent="0.25"/>
    <row r="44" spans="1:15" x14ac:dyDescent="0.25"/>
    <row r="45" spans="1:15" x14ac:dyDescent="0.25"/>
    <row r="46" spans="1:15" x14ac:dyDescent="0.25"/>
    <row r="47" spans="1:15" x14ac:dyDescent="0.25"/>
    <row r="48" spans="1:15" x14ac:dyDescent="0.25"/>
  </sheetData>
  <sheetProtection algorithmName="SHA-512" hashValue="LI1yhN6g+ZJKcygE3X2aNR9cxU7aWlOKbWqWxyJCgltZlis9hw9oliZp3Sxzw+ufS4tvErP/MqFsvQ5GwY1UtQ==" saltValue="LK98i93zXbL+Dhe5WuOS4A==" spinCount="100000" sheet="1" objects="1" scenarios="1" formatCells="0" selectLockedCells="1"/>
  <mergeCells count="29">
    <mergeCell ref="D24:D25"/>
    <mergeCell ref="E24:E25"/>
    <mergeCell ref="E30:E32"/>
    <mergeCell ref="A30:A32"/>
    <mergeCell ref="G34:G36"/>
    <mergeCell ref="A34:A36"/>
    <mergeCell ref="B34:B36"/>
    <mergeCell ref="C34:C36"/>
    <mergeCell ref="D34:D36"/>
    <mergeCell ref="E34:E36"/>
    <mergeCell ref="F34:F36"/>
    <mergeCell ref="B30:B32"/>
    <mergeCell ref="D30:D32"/>
    <mergeCell ref="I35:J35"/>
    <mergeCell ref="B6:C6"/>
    <mergeCell ref="D7:G7"/>
    <mergeCell ref="F30:F32"/>
    <mergeCell ref="D8:G8"/>
    <mergeCell ref="A24:B25"/>
    <mergeCell ref="G30:G32"/>
    <mergeCell ref="A26:A28"/>
    <mergeCell ref="B26:B28"/>
    <mergeCell ref="D26:D28"/>
    <mergeCell ref="C24:C25"/>
    <mergeCell ref="F24:F25"/>
    <mergeCell ref="G24:G25"/>
    <mergeCell ref="E26:E28"/>
    <mergeCell ref="F26:F28"/>
    <mergeCell ref="G26:G28"/>
  </mergeCells>
  <dataValidations count="2">
    <dataValidation type="textLength" errorStyle="information" operator="lessThan" allowBlank="1" showInputMessage="1" showErrorMessage="1" errorTitle="Validación de Datos" error="Lo sentimos, esta celda solo acapta una cantidad de 5 caracteres." sqref="A22:G22 A20:G20 A10:G10 A18:G18 A12:G12 A8:C8 A16:G16 A14:B14 D14:G14">
      <formula1>7</formula1>
    </dataValidation>
    <dataValidation type="whole" operator="lessThanOrEqual" allowBlank="1" showInputMessage="1" showErrorMessage="1" sqref="H12">
      <formula1>5</formula1>
    </dataValidation>
  </dataValidations>
  <pageMargins left="0.7" right="0.7" top="0.75" bottom="0.75" header="0.3" footer="0.3"/>
  <pageSetup paperSize="9" scale="67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MPRIMIR">
                <anchor moveWithCells="1" sizeWithCells="1">
                  <from>
                    <xdr:col>1</xdr:col>
                    <xdr:colOff>723900</xdr:colOff>
                    <xdr:row>42</xdr:row>
                    <xdr:rowOff>19050</xdr:rowOff>
                  </from>
                  <to>
                    <xdr:col>3</xdr:col>
                    <xdr:colOff>361950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Copiar18">
                <anchor moveWithCells="1" sizeWithCells="1">
                  <from>
                    <xdr:col>4</xdr:col>
                    <xdr:colOff>0</xdr:colOff>
                    <xdr:row>42</xdr:row>
                    <xdr:rowOff>19050</xdr:rowOff>
                  </from>
                  <to>
                    <xdr:col>6</xdr:col>
                    <xdr:colOff>57150</xdr:colOff>
                    <xdr:row>45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7030A0"/>
  </sheetPr>
  <dimension ref="A1:P48"/>
  <sheetViews>
    <sheetView showGridLines="0" showRowColHeaders="0" topLeftCell="A18" zoomScaleNormal="100" zoomScaleSheetLayoutView="100" workbookViewId="0">
      <selection activeCell="B6" sqref="B6:C6"/>
    </sheetView>
  </sheetViews>
  <sheetFormatPr baseColWidth="10" defaultColWidth="0" defaultRowHeight="15" zeroHeight="1" x14ac:dyDescent="0.25"/>
  <cols>
    <col min="1" max="1" width="16.7109375" bestFit="1" customWidth="1"/>
    <col min="2" max="2" width="14.42578125" bestFit="1" customWidth="1"/>
    <col min="3" max="3" width="22" bestFit="1" customWidth="1"/>
    <col min="4" max="4" width="13.7109375" bestFit="1" customWidth="1"/>
    <col min="5" max="5" width="17.7109375" bestFit="1" customWidth="1"/>
    <col min="6" max="6" width="12.42578125" bestFit="1" customWidth="1"/>
    <col min="7" max="7" width="18.7109375" bestFit="1" customWidth="1"/>
    <col min="8" max="8" width="10.5703125" bestFit="1" customWidth="1"/>
    <col min="9" max="9" width="22.5703125" bestFit="1" customWidth="1"/>
    <col min="10" max="10" width="11.42578125" customWidth="1"/>
    <col min="11" max="16384" width="11.42578125" hidden="1"/>
  </cols>
  <sheetData>
    <row r="1" spans="1:16" x14ac:dyDescent="0.25">
      <c r="A1" s="1"/>
      <c r="B1" s="1"/>
      <c r="C1" s="1"/>
      <c r="D1" s="1"/>
      <c r="E1" s="1"/>
      <c r="F1" s="1"/>
      <c r="G1" s="1"/>
      <c r="H1" s="6"/>
      <c r="K1" s="39"/>
      <c r="L1" s="39"/>
      <c r="M1" s="39"/>
      <c r="N1" s="39"/>
      <c r="O1" s="39"/>
      <c r="P1" s="39"/>
    </row>
    <row r="2" spans="1:16" ht="15" customHeight="1" x14ac:dyDescent="0.25">
      <c r="A2" s="1"/>
      <c r="B2" s="1"/>
      <c r="C2" s="1"/>
      <c r="D2" s="1"/>
      <c r="E2" s="1"/>
      <c r="F2" s="1"/>
      <c r="G2" s="1"/>
      <c r="H2" s="6"/>
      <c r="K2" s="39"/>
      <c r="L2" s="39"/>
      <c r="M2" s="39"/>
      <c r="N2" s="39"/>
      <c r="O2" s="39"/>
      <c r="P2" s="39"/>
    </row>
    <row r="3" spans="1:16" ht="15" customHeight="1" x14ac:dyDescent="0.25">
      <c r="A3" s="1"/>
      <c r="B3" s="1"/>
      <c r="C3" s="1"/>
      <c r="D3" s="1"/>
      <c r="E3" s="1"/>
      <c r="F3" s="1"/>
      <c r="G3" s="1"/>
      <c r="H3" s="6"/>
      <c r="K3" s="39"/>
      <c r="L3" s="39"/>
      <c r="M3" s="39"/>
      <c r="N3" s="39"/>
      <c r="O3" s="39"/>
      <c r="P3" s="39"/>
    </row>
    <row r="4" spans="1:16" ht="15" customHeight="1" x14ac:dyDescent="0.25">
      <c r="A4" s="1"/>
      <c r="B4" s="1"/>
      <c r="C4" s="1"/>
      <c r="D4" s="1"/>
      <c r="E4" s="1"/>
      <c r="F4" s="1"/>
      <c r="G4" s="1"/>
      <c r="H4" s="6"/>
      <c r="K4" s="39"/>
      <c r="L4" s="39"/>
      <c r="M4" s="39"/>
      <c r="N4" s="39"/>
      <c r="O4" s="39"/>
      <c r="P4" s="39"/>
    </row>
    <row r="5" spans="1:16" ht="12" customHeight="1" x14ac:dyDescent="0.25">
      <c r="A5" s="1"/>
      <c r="B5" s="1"/>
      <c r="C5" s="1"/>
      <c r="D5" s="1"/>
      <c r="E5" s="1"/>
      <c r="F5" s="1"/>
      <c r="G5" s="1"/>
      <c r="H5" s="6"/>
      <c r="K5" s="39"/>
      <c r="L5" s="39"/>
      <c r="M5" s="39"/>
      <c r="N5" s="39"/>
      <c r="O5" s="39"/>
      <c r="P5" s="39"/>
    </row>
    <row r="6" spans="1:16" s="38" customFormat="1" ht="18" customHeight="1" x14ac:dyDescent="0.25">
      <c r="A6" s="45" t="s">
        <v>141</v>
      </c>
      <c r="B6" s="319" t="s">
        <v>391</v>
      </c>
      <c r="C6" s="319"/>
      <c r="D6" s="1"/>
      <c r="E6" s="1"/>
      <c r="F6" s="1"/>
      <c r="G6" s="1"/>
      <c r="H6" s="44"/>
      <c r="I6" s="44"/>
      <c r="J6" s="44"/>
      <c r="K6" s="41"/>
      <c r="L6" s="41"/>
      <c r="M6" s="41"/>
      <c r="N6" s="41"/>
      <c r="O6" s="41"/>
    </row>
    <row r="7" spans="1:16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1"/>
      <c r="L7" s="41"/>
      <c r="M7" s="41"/>
      <c r="N7" s="41"/>
      <c r="O7" s="41"/>
    </row>
    <row r="8" spans="1:16" s="38" customFormat="1" x14ac:dyDescent="0.25">
      <c r="A8" s="59" t="s">
        <v>2</v>
      </c>
      <c r="B8" s="58" t="s">
        <v>433</v>
      </c>
      <c r="C8" s="60">
        <v>78486</v>
      </c>
      <c r="D8" s="323">
        <v>46082</v>
      </c>
      <c r="E8" s="324"/>
      <c r="F8" s="324"/>
      <c r="G8" s="325"/>
      <c r="H8" s="44"/>
      <c r="I8" s="44"/>
      <c r="J8" s="44"/>
      <c r="K8" s="44" t="s">
        <v>173</v>
      </c>
      <c r="L8" s="44" t="s">
        <v>174</v>
      </c>
      <c r="M8" s="44" t="s">
        <v>175</v>
      </c>
      <c r="N8" s="44" t="s">
        <v>176</v>
      </c>
      <c r="O8" s="41"/>
    </row>
    <row r="9" spans="1:16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40">
        <v>0</v>
      </c>
      <c r="L9" s="40">
        <v>86458</v>
      </c>
      <c r="M9" s="40">
        <v>83820</v>
      </c>
      <c r="N9" s="40">
        <v>0</v>
      </c>
      <c r="O9" s="41"/>
    </row>
    <row r="10" spans="1:16" s="38" customFormat="1" x14ac:dyDescent="0.25">
      <c r="A10" s="58" t="s">
        <v>412</v>
      </c>
      <c r="B10" s="58" t="s">
        <v>434</v>
      </c>
      <c r="C10" s="83" t="str">
        <f>IF(A29="",1,IF(A29&gt;0,10&amp;A29*10,11&amp;ABS(A29)*10))</f>
        <v>10290</v>
      </c>
      <c r="D10" s="83" t="str">
        <f>IF(B29="",2,IF(B29&gt;0,20&amp;ROUND(B29*10,0),21&amp;ROUND(ABS(B29)*10,0)))</f>
        <v>20227</v>
      </c>
      <c r="E10" s="84" t="str">
        <f>IF(C31="",4,IF(AND(C37&lt;1000,C37&gt;800),4&amp;C37*10,40&amp;TEXT((C37-INT(C37/1000)*1000)*10,"000")))</f>
        <v>40141</v>
      </c>
      <c r="F10" s="58" t="s">
        <v>435</v>
      </c>
      <c r="G10" s="58" t="s">
        <v>8</v>
      </c>
      <c r="H10" s="44"/>
      <c r="I10" s="44"/>
      <c r="J10" s="44"/>
      <c r="K10" s="40" t="str">
        <f>IFERROR(INDEX(FORMULAS!$P$30:$P$50, MATCH(VALUE(MID($K$9,4,2)), FORMULAS!$Q$30:$Q$50, 0)), "")</f>
        <v/>
      </c>
      <c r="L10" s="40">
        <f>IFERROR(INDEX(FORMULAS!$N$30:$N$42, MATCH(VALUE(MID($L$9,4,2)), FORMULAS!$O$30:$O$42, 0)), "")</f>
        <v>2438</v>
      </c>
      <c r="M10" s="40">
        <f>IFERROR(INDEX(FORMULAS!$L$30:$L$77, MATCH(VALUE(MID($M$9,4,2)), FORMULAS!$M$30:$M$77, 0)), "")</f>
        <v>610</v>
      </c>
      <c r="N10" s="40" t="str">
        <f>IFERROR(INDEX(FORMULAS!$L$30:$L$77, MATCH(VALUE(MID($N$9,4,2)), FORMULAS!$M$30:$M$77, 0)), "")</f>
        <v/>
      </c>
      <c r="O10" s="41"/>
    </row>
    <row r="11" spans="1:16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1"/>
      <c r="L11" s="41"/>
      <c r="M11" s="41"/>
      <c r="N11" s="41"/>
      <c r="O11" s="41"/>
    </row>
    <row r="12" spans="1:16" s="38" customFormat="1" x14ac:dyDescent="0.25">
      <c r="A12" s="58" t="s">
        <v>436</v>
      </c>
      <c r="B12" s="58" t="s">
        <v>37</v>
      </c>
      <c r="C12" s="58"/>
      <c r="D12" s="58" t="s">
        <v>36</v>
      </c>
      <c r="E12" s="58" t="s">
        <v>35</v>
      </c>
      <c r="F12" s="58" t="s">
        <v>360</v>
      </c>
      <c r="G12" s="58"/>
      <c r="H12" s="44"/>
      <c r="I12" s="44"/>
      <c r="J12" s="44"/>
      <c r="K12" s="48" t="s">
        <v>361</v>
      </c>
      <c r="L12" s="42"/>
      <c r="M12" s="41"/>
      <c r="N12" s="41"/>
      <c r="O12" s="41"/>
    </row>
    <row r="13" spans="1:16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1"/>
      <c r="L13" s="41"/>
      <c r="M13" s="41"/>
      <c r="N13" s="41"/>
      <c r="O13" s="41"/>
    </row>
    <row r="14" spans="1:16" s="38" customFormat="1" x14ac:dyDescent="0.25">
      <c r="A14" s="58"/>
      <c r="B14" s="58" t="s">
        <v>361</v>
      </c>
      <c r="C14" s="83" t="str">
        <f>IF(E33=0, "58",IF(E37 &gt;= 0, CONCATENATE("58",TEXT(ABS(E37*10),"000")),CONCATENATE("59",TEXT(ABS(E37)*10,"000"))))</f>
        <v>59002</v>
      </c>
      <c r="D14" s="58" t="s">
        <v>17</v>
      </c>
      <c r="E14" s="58" t="s">
        <v>18</v>
      </c>
      <c r="F14" s="58" t="s">
        <v>437</v>
      </c>
      <c r="G14" s="58" t="s">
        <v>438</v>
      </c>
      <c r="H14" s="44"/>
      <c r="I14" s="44"/>
      <c r="J14" s="44"/>
      <c r="K14" s="41"/>
      <c r="L14" s="41"/>
      <c r="M14" s="41"/>
      <c r="N14" s="41"/>
      <c r="O14" s="41"/>
    </row>
    <row r="15" spans="1:16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1"/>
      <c r="L15" s="41"/>
      <c r="M15" s="41"/>
      <c r="N15" s="41"/>
      <c r="O15" s="41"/>
    </row>
    <row r="16" spans="1:16" s="38" customFormat="1" x14ac:dyDescent="0.25">
      <c r="A16" s="58" t="s">
        <v>172</v>
      </c>
      <c r="B16" s="58" t="s">
        <v>172</v>
      </c>
      <c r="C16" s="58" t="s">
        <v>431</v>
      </c>
      <c r="D16" s="58" t="s">
        <v>385</v>
      </c>
      <c r="E16" s="58" t="s">
        <v>439</v>
      </c>
      <c r="F16" s="58" t="s">
        <v>364</v>
      </c>
      <c r="G16" s="58" t="s">
        <v>432</v>
      </c>
      <c r="H16" s="44"/>
      <c r="I16" s="44"/>
      <c r="J16" s="44"/>
      <c r="K16" s="41"/>
      <c r="L16" s="41"/>
      <c r="M16" s="41"/>
      <c r="N16" s="41"/>
      <c r="O16" s="41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1"/>
      <c r="L17" s="41"/>
      <c r="M17" s="41"/>
      <c r="N17" s="41"/>
      <c r="O17" s="41"/>
    </row>
    <row r="18" spans="1:15" s="38" customFormat="1" x14ac:dyDescent="0.25">
      <c r="A18" s="58" t="s">
        <v>19</v>
      </c>
      <c r="B18" s="58" t="s">
        <v>19</v>
      </c>
      <c r="C18" s="58" t="s">
        <v>19</v>
      </c>
      <c r="D18" s="58" t="s">
        <v>19</v>
      </c>
      <c r="E18" s="58" t="s">
        <v>19</v>
      </c>
      <c r="F18" s="58" t="s">
        <v>19</v>
      </c>
      <c r="G18" s="58" t="s">
        <v>19</v>
      </c>
      <c r="H18" s="44"/>
      <c r="I18" s="44"/>
      <c r="J18" s="44"/>
      <c r="K18" s="41"/>
      <c r="L18" s="41"/>
      <c r="M18" s="41"/>
      <c r="N18" s="41"/>
      <c r="O18" s="41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4"/>
      <c r="I19" s="44"/>
      <c r="J19" s="44"/>
      <c r="K19" s="41"/>
      <c r="L19" s="41"/>
      <c r="M19" s="41"/>
      <c r="N19" s="41"/>
      <c r="O19" s="41"/>
    </row>
    <row r="20" spans="1:15" s="38" customFormat="1" x14ac:dyDescent="0.25">
      <c r="A20" s="58" t="s">
        <v>19</v>
      </c>
      <c r="B20" s="58" t="s">
        <v>19</v>
      </c>
      <c r="C20" s="58" t="s">
        <v>19</v>
      </c>
      <c r="D20" s="58" t="s">
        <v>19</v>
      </c>
      <c r="E20" s="58" t="s">
        <v>19</v>
      </c>
      <c r="F20" s="58" t="s">
        <v>19</v>
      </c>
      <c r="G20" s="58" t="s">
        <v>19</v>
      </c>
      <c r="H20" s="41"/>
      <c r="I20"/>
      <c r="J20"/>
      <c r="K20" s="41"/>
      <c r="L20" s="41"/>
      <c r="M20" s="41"/>
      <c r="N20" s="41"/>
      <c r="O20" s="41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1"/>
      <c r="L21" s="41"/>
      <c r="M21" s="41"/>
      <c r="N21" s="41"/>
      <c r="O21" s="41"/>
    </row>
    <row r="22" spans="1:15" s="38" customFormat="1" x14ac:dyDescent="0.25">
      <c r="A22" s="58" t="s">
        <v>19</v>
      </c>
      <c r="B22" s="58" t="s">
        <v>19</v>
      </c>
      <c r="C22" s="58" t="s">
        <v>19</v>
      </c>
      <c r="D22" s="58" t="s">
        <v>21</v>
      </c>
      <c r="E22" s="58" t="s">
        <v>21</v>
      </c>
      <c r="F22" s="58" t="s">
        <v>22</v>
      </c>
      <c r="G22" s="83" t="str">
        <f>IF(B37=100,"29100",290&amp;TEXT(B37,0))</f>
        <v>29068</v>
      </c>
      <c r="H22" s="41"/>
      <c r="K22" s="41"/>
      <c r="L22" s="41"/>
      <c r="M22" s="41"/>
      <c r="N22" s="41"/>
      <c r="O22" s="41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1"/>
      <c r="L23" s="41"/>
      <c r="M23" s="41"/>
      <c r="N23" s="41"/>
      <c r="O23" s="41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1"/>
      <c r="L24" s="41"/>
      <c r="M24" s="41"/>
      <c r="N24" s="41"/>
      <c r="O24" s="41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1"/>
      <c r="L25" s="41"/>
      <c r="M25" s="41"/>
      <c r="N25" s="41"/>
      <c r="O25" s="41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30.557671101779331</v>
      </c>
      <c r="K26" s="41"/>
      <c r="L26" s="41"/>
      <c r="M26" s="41"/>
      <c r="N26" s="41"/>
      <c r="O26" s="41"/>
    </row>
    <row r="27" spans="1:15" s="38" customFormat="1" x14ac:dyDescent="0.25">
      <c r="A27" s="317"/>
      <c r="B27" s="317"/>
      <c r="C27" s="58"/>
      <c r="D27" s="317"/>
      <c r="E27" s="317"/>
      <c r="F27" s="317"/>
      <c r="G27" s="317"/>
      <c r="H27" s="47">
        <f>0.00066*1000*(1+0.00115*A33)</f>
        <v>0.6785196</v>
      </c>
      <c r="K27" s="41"/>
      <c r="L27" s="41"/>
      <c r="M27" s="41"/>
      <c r="N27" s="41"/>
      <c r="O27" s="41"/>
    </row>
    <row r="28" spans="1:15" s="38" customFormat="1" x14ac:dyDescent="0.25">
      <c r="A28" s="318"/>
      <c r="B28" s="318"/>
      <c r="C28" s="33" t="s">
        <v>43</v>
      </c>
      <c r="D28" s="318"/>
      <c r="E28" s="318"/>
      <c r="F28" s="318"/>
      <c r="G28" s="318"/>
      <c r="H28" s="46">
        <f>6.112*EXP((17.67*A29)/(A29+243.5))</f>
        <v>40.074135094204031</v>
      </c>
      <c r="K28" s="41"/>
      <c r="L28" s="41"/>
      <c r="M28" s="41"/>
      <c r="N28" s="41"/>
      <c r="O28" s="41"/>
    </row>
    <row r="29" spans="1:15" s="38" customFormat="1" x14ac:dyDescent="0.25">
      <c r="A29" s="58" t="s">
        <v>411</v>
      </c>
      <c r="B29" s="62">
        <f xml:space="preserve"> IFERROR((A29 - (14.55 + 0.114 * A29) * (1 - (0.01 * B37)) - ((2.5 + 0.007 * A29) * (1 - (0.01 * B37))) ^ 3 - (15.9 + 0.117 *A29) * (1 - (0.01 * B37)) ^ 14),"")</f>
        <v>22.749623000401431</v>
      </c>
      <c r="C29" s="58"/>
      <c r="D29" s="62">
        <f>'1800Z'!C31</f>
        <v>13.8</v>
      </c>
      <c r="E29" s="61">
        <v>12.7</v>
      </c>
      <c r="F29" s="58"/>
      <c r="G29" s="58"/>
      <c r="H29" s="41"/>
      <c r="K29" s="41"/>
      <c r="L29" s="41"/>
      <c r="M29" s="41"/>
      <c r="N29" s="41"/>
      <c r="O29" s="41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1"/>
      <c r="L30" s="41"/>
      <c r="M30" s="41"/>
      <c r="N30" s="41"/>
      <c r="O30" s="41"/>
    </row>
    <row r="31" spans="1:15" s="38" customFormat="1" x14ac:dyDescent="0.25">
      <c r="A31" s="317"/>
      <c r="B31" s="317"/>
      <c r="C31" s="61">
        <v>12.5</v>
      </c>
      <c r="D31" s="317"/>
      <c r="E31" s="317"/>
      <c r="F31" s="317"/>
      <c r="G31" s="317"/>
      <c r="H31" s="41"/>
      <c r="K31" s="41"/>
      <c r="L31" s="41"/>
      <c r="M31" s="41"/>
      <c r="N31" s="41"/>
      <c r="O31" s="41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1"/>
      <c r="L32" s="41"/>
      <c r="M32" s="41"/>
      <c r="N32" s="41"/>
      <c r="O32" s="41"/>
    </row>
    <row r="33" spans="1:15" s="38" customFormat="1" x14ac:dyDescent="0.25">
      <c r="A33" s="61">
        <v>24.4</v>
      </c>
      <c r="B33" s="62">
        <f>IF(ROUND(H26-H27*(A29-A33), 1) = 6.1, "  ", H26-H27*(A29-A33))</f>
        <v>27.43648094177933</v>
      </c>
      <c r="C33" s="62">
        <f>IF(C8="","",VLOOKUP(C8,FORMULAS!O:T,3,FALSE))</f>
        <v>1.6</v>
      </c>
      <c r="D33" s="62">
        <f>C31</f>
        <v>12.5</v>
      </c>
      <c r="E33" s="62">
        <f>C31</f>
        <v>12.5</v>
      </c>
      <c r="F33" s="63"/>
      <c r="G33" s="63"/>
      <c r="H33" s="41">
        <f>IFERROR(VLOOKUP(VALUE(RIGHT(A10, 2)), FORMULAS!$S$30:$T$70, 2, FALSE), IFERROR(VLOOKUP(VALUE(RIGHT(A10, 2)), FORMULAS!$U$30:$V$64, 2, FALSE), " "))</f>
        <v>160</v>
      </c>
      <c r="K33" s="41"/>
      <c r="L33" s="41"/>
      <c r="M33" s="41"/>
      <c r="N33" s="41"/>
      <c r="O33" s="41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4.6000000000000014</v>
      </c>
      <c r="B37" s="64">
        <f>IFERROR((B33/H28)*100, "")</f>
        <v>68.464312148679412</v>
      </c>
      <c r="C37" s="62">
        <f>IFERROR(SUM(C31) + (C33), " ")</f>
        <v>14.1</v>
      </c>
      <c r="D37" s="62">
        <f>SUM(D33 - D29 )</f>
        <v>-1.3000000000000007</v>
      </c>
      <c r="E37" s="62">
        <f>SUM(E33 - E29)</f>
        <v>-0.19999999999999929</v>
      </c>
      <c r="F37" s="58" t="s">
        <v>367</v>
      </c>
      <c r="G37" s="58"/>
      <c r="I37" s="58">
        <v>8</v>
      </c>
      <c r="J37" s="58">
        <v>8</v>
      </c>
      <c r="K37" s="41"/>
      <c r="L37" s="41"/>
      <c r="M37" s="41"/>
      <c r="N37" s="41"/>
      <c r="O37" s="41"/>
    </row>
    <row r="38" spans="1:15" x14ac:dyDescent="0.25">
      <c r="H38" s="38"/>
      <c r="I38" s="38"/>
    </row>
    <row r="39" spans="1:15" x14ac:dyDescent="0.25">
      <c r="H39" s="38"/>
      <c r="I39" s="38"/>
    </row>
    <row r="40" spans="1:15" x14ac:dyDescent="0.25"/>
    <row r="41" spans="1:15" x14ac:dyDescent="0.25"/>
    <row r="42" spans="1:15" x14ac:dyDescent="0.25"/>
    <row r="43" spans="1:15" x14ac:dyDescent="0.25"/>
    <row r="44" spans="1:15" x14ac:dyDescent="0.25"/>
    <row r="45" spans="1:15" x14ac:dyDescent="0.25"/>
    <row r="46" spans="1:15" x14ac:dyDescent="0.25"/>
    <row r="47" spans="1:15" x14ac:dyDescent="0.25"/>
    <row r="48" spans="1:15" x14ac:dyDescent="0.25"/>
  </sheetData>
  <sheetProtection algorithmName="SHA-512" hashValue="gAu7tP6szMQZLc9b+4FGQ3q932DtH9zv9NABi1A4Xc4tYM/NT3u9udzYDalk6pZ7Rk822w6yu9Wn6lpfXXFjew==" saltValue="CQ15Usznme1hZQTyKNoDNg==" spinCount="100000" sheet="1" objects="1" scenarios="1" formatCells="0" selectLockedCells="1"/>
  <mergeCells count="29">
    <mergeCell ref="G30:G32"/>
    <mergeCell ref="A30:A32"/>
    <mergeCell ref="B30:B32"/>
    <mergeCell ref="D30:D32"/>
    <mergeCell ref="B26:B28"/>
    <mergeCell ref="D26:D28"/>
    <mergeCell ref="E26:E28"/>
    <mergeCell ref="F26:F28"/>
    <mergeCell ref="A34:A36"/>
    <mergeCell ref="B34:B36"/>
    <mergeCell ref="C34:C36"/>
    <mergeCell ref="D34:D36"/>
    <mergeCell ref="E34:E36"/>
    <mergeCell ref="I35:J35"/>
    <mergeCell ref="E30:E32"/>
    <mergeCell ref="F30:F32"/>
    <mergeCell ref="G26:G28"/>
    <mergeCell ref="B6:C6"/>
    <mergeCell ref="D8:G8"/>
    <mergeCell ref="A24:B25"/>
    <mergeCell ref="C24:C25"/>
    <mergeCell ref="D24:D25"/>
    <mergeCell ref="E24:E25"/>
    <mergeCell ref="F24:F25"/>
    <mergeCell ref="G24:G25"/>
    <mergeCell ref="D7:G7"/>
    <mergeCell ref="F34:F36"/>
    <mergeCell ref="G34:G36"/>
    <mergeCell ref="A26:A28"/>
  </mergeCells>
  <dataValidations count="2">
    <dataValidation type="textLength" errorStyle="information" operator="lessThan" allowBlank="1" showInputMessage="1" showErrorMessage="1" errorTitle="Validación de Datos" error="Lo sentimos, esta celda solo acapta una cantidad de 5 caracteres." sqref="A22:G22 A20:G20 A10:G10 A18:G18 A12:G12 A8:C8 A16:G16 A14:B14 D14:G14">
      <formula1>7</formula1>
    </dataValidation>
    <dataValidation type="whole" operator="lessThanOrEqual" allowBlank="1" showInputMessage="1" showErrorMessage="1" sqref="H12">
      <formula1>5</formula1>
    </dataValidation>
  </dataValidations>
  <pageMargins left="0.7" right="0.7" top="0.75" bottom="0.75" header="0.3" footer="0.3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IMPRIMIR">
                <anchor moveWithCells="1" sizeWithCells="1">
                  <from>
                    <xdr:col>1</xdr:col>
                    <xdr:colOff>685800</xdr:colOff>
                    <xdr:row>41</xdr:row>
                    <xdr:rowOff>161925</xdr:rowOff>
                  </from>
                  <to>
                    <xdr:col>3</xdr:col>
                    <xdr:colOff>342900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Copiar21">
                <anchor moveWithCells="1" sizeWithCells="1">
                  <from>
                    <xdr:col>3</xdr:col>
                    <xdr:colOff>904875</xdr:colOff>
                    <xdr:row>41</xdr:row>
                    <xdr:rowOff>142875</xdr:rowOff>
                  </from>
                  <to>
                    <xdr:col>6</xdr:col>
                    <xdr:colOff>66675</xdr:colOff>
                    <xdr:row>45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92D050"/>
  </sheetPr>
  <dimension ref="A1:O48"/>
  <sheetViews>
    <sheetView showGridLines="0" showRowColHeaders="0" topLeftCell="A16" zoomScaleNormal="100" zoomScaleSheetLayoutView="100" workbookViewId="0">
      <selection activeCell="B6" sqref="B6:C6"/>
    </sheetView>
  </sheetViews>
  <sheetFormatPr baseColWidth="10" defaultColWidth="0" defaultRowHeight="15" zeroHeight="1" x14ac:dyDescent="0.25"/>
  <cols>
    <col min="1" max="1" width="16.7109375" bestFit="1" customWidth="1"/>
    <col min="2" max="2" width="14.42578125" bestFit="1" customWidth="1"/>
    <col min="3" max="3" width="22" bestFit="1" customWidth="1"/>
    <col min="4" max="4" width="13.7109375" bestFit="1" customWidth="1"/>
    <col min="5" max="5" width="17.7109375" bestFit="1" customWidth="1"/>
    <col min="6" max="6" width="12.42578125" bestFit="1" customWidth="1"/>
    <col min="7" max="7" width="18.7109375" bestFit="1" customWidth="1"/>
    <col min="8" max="8" width="10.5703125" bestFit="1" customWidth="1"/>
    <col min="9" max="9" width="22.5703125" bestFit="1" customWidth="1"/>
    <col min="10" max="10" width="11.42578125" customWidth="1"/>
    <col min="11" max="16384" width="11.42578125" hidden="1"/>
  </cols>
  <sheetData>
    <row r="1" spans="1:15" x14ac:dyDescent="0.25">
      <c r="H1" s="85"/>
    </row>
    <row r="2" spans="1:15" ht="15" customHeight="1" x14ac:dyDescent="0.25">
      <c r="H2" s="85"/>
    </row>
    <row r="3" spans="1:15" ht="15" customHeight="1" x14ac:dyDescent="0.25">
      <c r="H3" s="85"/>
    </row>
    <row r="4" spans="1:15" ht="15" customHeight="1" x14ac:dyDescent="0.25">
      <c r="H4" s="85"/>
    </row>
    <row r="5" spans="1:15" ht="12" customHeight="1" x14ac:dyDescent="0.25">
      <c r="H5" s="85"/>
    </row>
    <row r="6" spans="1:15" s="38" customFormat="1" ht="18" customHeight="1" x14ac:dyDescent="0.25">
      <c r="A6" s="45" t="s">
        <v>141</v>
      </c>
      <c r="B6" s="319" t="s">
        <v>440</v>
      </c>
      <c r="C6" s="319"/>
      <c r="D6"/>
      <c r="E6"/>
      <c r="F6"/>
      <c r="G6"/>
      <c r="H6" s="44"/>
      <c r="I6" s="44"/>
      <c r="J6" s="44"/>
      <c r="K6" s="41"/>
      <c r="L6" s="41"/>
      <c r="M6" s="41"/>
      <c r="N6" s="41"/>
      <c r="O6" s="41"/>
    </row>
    <row r="7" spans="1:15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1"/>
      <c r="L7" s="41"/>
      <c r="M7" s="41"/>
      <c r="N7" s="41"/>
      <c r="O7" s="41"/>
    </row>
    <row r="8" spans="1:15" s="38" customFormat="1" x14ac:dyDescent="0.25">
      <c r="A8" s="59" t="s">
        <v>2</v>
      </c>
      <c r="B8" s="58" t="s">
        <v>441</v>
      </c>
      <c r="C8" s="60">
        <v>78486</v>
      </c>
      <c r="D8" s="323">
        <v>46082</v>
      </c>
      <c r="E8" s="324"/>
      <c r="F8" s="324"/>
      <c r="G8" s="325"/>
      <c r="H8" s="44"/>
      <c r="I8" s="44"/>
      <c r="J8" s="44"/>
      <c r="K8" s="41" t="s">
        <v>173</v>
      </c>
      <c r="L8" s="41" t="s">
        <v>174</v>
      </c>
      <c r="M8" s="41" t="s">
        <v>175</v>
      </c>
      <c r="N8" s="41" t="s">
        <v>176</v>
      </c>
      <c r="O8" s="41"/>
    </row>
    <row r="9" spans="1:15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40">
        <v>0</v>
      </c>
      <c r="L9" s="40">
        <v>85358</v>
      </c>
      <c r="M9" s="40">
        <v>85620</v>
      </c>
      <c r="N9" s="40">
        <v>0</v>
      </c>
      <c r="O9" s="41"/>
    </row>
    <row r="10" spans="1:15" s="38" customFormat="1" x14ac:dyDescent="0.25">
      <c r="A10" s="58" t="s">
        <v>412</v>
      </c>
      <c r="B10" s="58" t="s">
        <v>442</v>
      </c>
      <c r="C10" s="83" t="str">
        <f>IF(A29="",1,IF(A29&gt;0,10&amp;A29*10,11&amp;ABS(A29)*10))</f>
        <v>10272</v>
      </c>
      <c r="D10" s="83" t="str">
        <f>IF(B29="",2,IF(B29&gt;0,20&amp;ROUND(B29*10,0),21&amp;ROUND(ABS(B29)*10,0)))</f>
        <v>20223</v>
      </c>
      <c r="E10" s="84" t="str">
        <f>IF(C31="",4,IF(AND(C37&lt;1000,C37&gt;800),4&amp;C37*10,40&amp;TEXT((C37-INT(C37/1000)*1000)*10,"000")))</f>
        <v>40156</v>
      </c>
      <c r="F10" s="58" t="s">
        <v>443</v>
      </c>
      <c r="G10" s="58" t="s">
        <v>8</v>
      </c>
      <c r="H10" s="44"/>
      <c r="I10" s="44"/>
      <c r="J10" s="44"/>
      <c r="K10" s="40" t="str">
        <f>IFERROR(INDEX(FORMULAS!$P$30:$P$50, MATCH(VALUE(MID($K$9,4,2)), FORMULAS!$Q$30:$Q$50, 0)), "")</f>
        <v/>
      </c>
      <c r="L10" s="40">
        <f>IFERROR(INDEX(FORMULAS!$N$30:$N$42, MATCH(VALUE(MID($L$9,4,2)), FORMULAS!$O$30:$O$42, 0)), "")</f>
        <v>2438</v>
      </c>
      <c r="M10" s="40">
        <f>IFERROR(INDEX(FORMULAS!$L$30:$L$77, MATCH(VALUE(MID($M$9,4,2)), FORMULAS!$M$30:$M$77, 0)), "")</f>
        <v>610</v>
      </c>
      <c r="N10" s="40" t="str">
        <f>IFERROR(INDEX(FORMULAS!$L$30:$L$77, MATCH(VALUE(MID($N$9,4,2)), FORMULAS!$M$30:$M$77, 0)), "")</f>
        <v/>
      </c>
      <c r="O10" s="41"/>
    </row>
    <row r="11" spans="1:15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1"/>
      <c r="L11" s="41"/>
      <c r="M11" s="41"/>
      <c r="N11" s="41"/>
      <c r="O11" s="41"/>
    </row>
    <row r="12" spans="1:15" s="38" customFormat="1" x14ac:dyDescent="0.25">
      <c r="A12" s="58" t="s">
        <v>444</v>
      </c>
      <c r="B12" s="58" t="s">
        <v>37</v>
      </c>
      <c r="C12" s="58"/>
      <c r="D12" s="58" t="s">
        <v>429</v>
      </c>
      <c r="E12" s="58" t="s">
        <v>401</v>
      </c>
      <c r="F12" s="58" t="s">
        <v>360</v>
      </c>
      <c r="G12" s="58"/>
      <c r="H12" s="44"/>
      <c r="I12" s="44"/>
      <c r="J12" s="44"/>
      <c r="K12" s="48" t="s">
        <v>361</v>
      </c>
      <c r="L12" s="42"/>
      <c r="M12" s="41"/>
      <c r="N12" s="41"/>
      <c r="O12" s="41"/>
    </row>
    <row r="13" spans="1:15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1"/>
      <c r="L13" s="41"/>
      <c r="M13" s="41"/>
      <c r="N13" s="41"/>
      <c r="O13" s="41"/>
    </row>
    <row r="14" spans="1:15" s="38" customFormat="1" x14ac:dyDescent="0.25">
      <c r="A14" s="58"/>
      <c r="B14" s="58" t="s">
        <v>361</v>
      </c>
      <c r="C14" s="83" t="str">
        <f>IF(E33=0, "58",IF(E37 &gt;= 0, CONCATENATE("58",TEXT(ABS(E37*10),"000")),CONCATENATE("59",TEXT(ABS(E37)*10,"000"))))</f>
        <v>58000</v>
      </c>
      <c r="D14" s="58" t="s">
        <v>17</v>
      </c>
      <c r="E14" s="58" t="s">
        <v>18</v>
      </c>
      <c r="F14" s="58" t="s">
        <v>445</v>
      </c>
      <c r="G14" s="58" t="s">
        <v>430</v>
      </c>
      <c r="H14" s="44"/>
      <c r="I14" s="44"/>
      <c r="J14" s="44"/>
      <c r="K14" s="41"/>
      <c r="L14" s="41"/>
      <c r="M14" s="41"/>
      <c r="N14" s="41"/>
      <c r="O14" s="41"/>
    </row>
    <row r="15" spans="1:15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1"/>
      <c r="L15" s="41"/>
      <c r="M15" s="41"/>
      <c r="N15" s="41"/>
      <c r="O15" s="41"/>
    </row>
    <row r="16" spans="1:15" s="38" customFormat="1" x14ac:dyDescent="0.25">
      <c r="A16" s="58" t="s">
        <v>172</v>
      </c>
      <c r="B16" s="58" t="s">
        <v>172</v>
      </c>
      <c r="C16" s="58" t="s">
        <v>446</v>
      </c>
      <c r="D16" s="58" t="s">
        <v>420</v>
      </c>
      <c r="E16" s="58" t="s">
        <v>447</v>
      </c>
      <c r="F16" s="58" t="s">
        <v>387</v>
      </c>
      <c r="G16" s="58" t="s">
        <v>448</v>
      </c>
      <c r="H16" s="44"/>
      <c r="I16" s="44"/>
      <c r="J16" s="44"/>
      <c r="K16" s="41"/>
      <c r="L16" s="41"/>
      <c r="M16" s="41"/>
      <c r="N16" s="41"/>
      <c r="O16" s="41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1"/>
      <c r="L17" s="41"/>
      <c r="M17" s="41"/>
      <c r="N17" s="41"/>
      <c r="O17" s="41"/>
    </row>
    <row r="18" spans="1:15" s="38" customFormat="1" x14ac:dyDescent="0.25">
      <c r="A18" s="58" t="s">
        <v>226</v>
      </c>
      <c r="B18" s="58" t="s">
        <v>226</v>
      </c>
      <c r="C18" s="58" t="s">
        <v>226</v>
      </c>
      <c r="D18" s="58" t="s">
        <v>226</v>
      </c>
      <c r="E18" s="58" t="s">
        <v>226</v>
      </c>
      <c r="F18" s="58" t="s">
        <v>226</v>
      </c>
      <c r="G18" s="58" t="s">
        <v>226</v>
      </c>
      <c r="H18" s="41"/>
      <c r="I18"/>
      <c r="J18"/>
      <c r="K18" s="41"/>
      <c r="L18" s="41"/>
      <c r="M18" s="41"/>
      <c r="N18" s="41"/>
      <c r="O18" s="41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1"/>
      <c r="I19"/>
      <c r="J19"/>
      <c r="K19" s="41"/>
      <c r="L19" s="41"/>
      <c r="M19" s="41"/>
      <c r="N19" s="41"/>
      <c r="O19" s="41"/>
    </row>
    <row r="20" spans="1:15" s="38" customFormat="1" x14ac:dyDescent="0.25">
      <c r="A20" s="58" t="s">
        <v>226</v>
      </c>
      <c r="B20" s="58" t="s">
        <v>226</v>
      </c>
      <c r="C20" s="58" t="s">
        <v>226</v>
      </c>
      <c r="D20" s="58" t="s">
        <v>226</v>
      </c>
      <c r="E20" s="58" t="s">
        <v>226</v>
      </c>
      <c r="F20" s="58" t="s">
        <v>226</v>
      </c>
      <c r="G20" s="58" t="s">
        <v>226</v>
      </c>
      <c r="H20" s="41"/>
      <c r="I20"/>
      <c r="J20"/>
      <c r="K20" s="41"/>
      <c r="L20" s="41"/>
      <c r="M20" s="41"/>
      <c r="N20" s="41"/>
      <c r="O20" s="41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1"/>
      <c r="L21" s="41"/>
      <c r="M21" s="41"/>
      <c r="N21" s="41"/>
      <c r="O21" s="41"/>
    </row>
    <row r="22" spans="1:15" s="38" customFormat="1" x14ac:dyDescent="0.25">
      <c r="A22" s="58" t="s">
        <v>226</v>
      </c>
      <c r="B22" s="58" t="s">
        <v>226</v>
      </c>
      <c r="C22" s="58" t="s">
        <v>226</v>
      </c>
      <c r="D22" s="58" t="s">
        <v>226</v>
      </c>
      <c r="E22" s="58" t="s">
        <v>226</v>
      </c>
      <c r="F22" s="58" t="s">
        <v>22</v>
      </c>
      <c r="G22" s="83" t="str">
        <f>IF(B37=100,"29100",290&amp;TEXT(B37,0))</f>
        <v>29074</v>
      </c>
      <c r="H22" s="41"/>
      <c r="K22" s="41"/>
      <c r="L22" s="41"/>
      <c r="M22" s="41"/>
      <c r="N22" s="41"/>
      <c r="O22" s="41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1"/>
      <c r="L23" s="41"/>
      <c r="M23" s="41"/>
      <c r="N23" s="41"/>
      <c r="O23" s="41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1"/>
      <c r="L24" s="41"/>
      <c r="M24" s="41"/>
      <c r="N24" s="41"/>
      <c r="O24" s="41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1"/>
      <c r="L25" s="41"/>
      <c r="M25" s="41"/>
      <c r="N25" s="41"/>
      <c r="O25" s="41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29.122527270153263</v>
      </c>
      <c r="K26" s="41"/>
      <c r="L26" s="41"/>
      <c r="M26" s="41"/>
      <c r="N26" s="41"/>
      <c r="O26" s="41"/>
    </row>
    <row r="27" spans="1:15" s="38" customFormat="1" x14ac:dyDescent="0.25">
      <c r="A27" s="317"/>
      <c r="B27" s="317"/>
      <c r="C27" s="58"/>
      <c r="D27" s="317"/>
      <c r="E27" s="317"/>
      <c r="F27" s="317"/>
      <c r="G27" s="317"/>
      <c r="H27" s="47">
        <f>0.00066*1000*(1+0.00115*A33)</f>
        <v>0.67791239999999997</v>
      </c>
      <c r="K27" s="41"/>
      <c r="L27" s="41"/>
      <c r="M27" s="41"/>
      <c r="N27" s="41"/>
      <c r="O27" s="41"/>
    </row>
    <row r="28" spans="1:15" s="38" customFormat="1" x14ac:dyDescent="0.25">
      <c r="A28" s="318"/>
      <c r="B28" s="318"/>
      <c r="C28" s="33" t="s">
        <v>43</v>
      </c>
      <c r="D28" s="318"/>
      <c r="E28" s="318"/>
      <c r="F28" s="318"/>
      <c r="G28" s="318"/>
      <c r="H28" s="46">
        <f>6.112*EXP((17.67*A29)/(A29+243.5))</f>
        <v>36.08004092496796</v>
      </c>
      <c r="K28" s="41"/>
      <c r="L28" s="41"/>
      <c r="M28" s="41"/>
      <c r="N28" s="41"/>
      <c r="O28" s="41"/>
    </row>
    <row r="29" spans="1:15" s="38" customFormat="1" x14ac:dyDescent="0.25">
      <c r="A29" s="61">
        <v>27.2</v>
      </c>
      <c r="B29" s="62">
        <f xml:space="preserve"> IFERROR((A29 - (14.55 + 0.114 * A29) * (1 - (0.01 * B37)) - ((2.5 + 0.007 * A29) * (1 - (0.01 * B37))) ^ 3 - (15.9 + 0.117 *A29) * (1 - (0.01 * B37)) ^ 14),"")</f>
        <v>22.258227272543486</v>
      </c>
      <c r="C29" s="58"/>
      <c r="D29" s="62">
        <f>'2100Z'!C31</f>
        <v>12.5</v>
      </c>
      <c r="E29" s="61">
        <v>14</v>
      </c>
      <c r="F29" s="61">
        <v>31</v>
      </c>
      <c r="G29" s="58"/>
      <c r="H29" s="41"/>
      <c r="K29" s="41"/>
      <c r="L29" s="41"/>
      <c r="M29" s="41"/>
      <c r="N29" s="41"/>
      <c r="O29" s="41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1"/>
      <c r="L30" s="41"/>
      <c r="M30" s="41"/>
      <c r="N30" s="41"/>
      <c r="O30" s="41"/>
    </row>
    <row r="31" spans="1:15" s="38" customFormat="1" x14ac:dyDescent="0.25">
      <c r="A31" s="317"/>
      <c r="B31" s="317"/>
      <c r="C31" s="61">
        <v>14</v>
      </c>
      <c r="D31" s="317"/>
      <c r="E31" s="317"/>
      <c r="F31" s="317"/>
      <c r="G31" s="317"/>
      <c r="H31" s="41"/>
      <c r="K31" s="41"/>
      <c r="L31" s="41"/>
      <c r="M31" s="41"/>
      <c r="N31" s="41"/>
      <c r="O31" s="41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1"/>
      <c r="L32" s="41"/>
      <c r="M32" s="41"/>
      <c r="N32" s="41"/>
      <c r="O32" s="41"/>
    </row>
    <row r="33" spans="1:15" s="38" customFormat="1" x14ac:dyDescent="0.25">
      <c r="A33" s="61">
        <v>23.6</v>
      </c>
      <c r="B33" s="62">
        <f>IF(ROUND(H26-H27*(A29-A33), 1) = 6.1, "  ", H26-H27*(A29-A33))</f>
        <v>26.682042630153266</v>
      </c>
      <c r="C33" s="62">
        <f>IF(C8="","",VLOOKUP(C8,FORMULAS!O:T,3,FALSE))</f>
        <v>1.6</v>
      </c>
      <c r="D33" s="62">
        <f>C31</f>
        <v>14</v>
      </c>
      <c r="E33" s="62">
        <f>C31</f>
        <v>14</v>
      </c>
      <c r="F33" s="63">
        <v>27</v>
      </c>
      <c r="G33" s="63"/>
      <c r="H33" s="41">
        <f>IFERROR(VLOOKUP(VALUE(RIGHT(A10, 2)), FORMULAS!$S$30:$T$70, 2, FALSE), IFERROR(VLOOKUP(VALUE(RIGHT(A10, 2)), FORMULAS!$U$30:$V$64, 2, FALSE), " "))</f>
        <v>160</v>
      </c>
      <c r="K33" s="41"/>
      <c r="L33" s="41"/>
      <c r="M33" s="41"/>
      <c r="N33" s="41"/>
      <c r="O33" s="41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3.5999999999999979</v>
      </c>
      <c r="B37" s="64">
        <f>IFERROR((B33/H28)*100, "")</f>
        <v>73.952362431188007</v>
      </c>
      <c r="C37" s="62">
        <f>IFERROR(SUM(C31) + (C33), " ")</f>
        <v>15.6</v>
      </c>
      <c r="D37" s="62">
        <f>SUM(D33 - D29 )</f>
        <v>1.5</v>
      </c>
      <c r="E37" s="62">
        <f>SUM(E33 - E29)</f>
        <v>0</v>
      </c>
      <c r="F37" s="58" t="s">
        <v>367</v>
      </c>
      <c r="G37" s="58"/>
      <c r="I37" s="58">
        <v>8</v>
      </c>
      <c r="J37" s="58">
        <v>8</v>
      </c>
      <c r="K37" s="41"/>
      <c r="L37" s="41"/>
      <c r="M37" s="41"/>
      <c r="N37" s="41"/>
      <c r="O37" s="41"/>
    </row>
    <row r="38" spans="1:15" x14ac:dyDescent="0.25"/>
    <row r="39" spans="1:15" x14ac:dyDescent="0.25"/>
    <row r="40" spans="1:15" x14ac:dyDescent="0.25"/>
    <row r="41" spans="1:15" x14ac:dyDescent="0.25"/>
    <row r="42" spans="1:15" x14ac:dyDescent="0.25"/>
    <row r="43" spans="1:15" x14ac:dyDescent="0.25"/>
    <row r="44" spans="1:15" x14ac:dyDescent="0.25"/>
    <row r="45" spans="1:15" x14ac:dyDescent="0.25"/>
    <row r="46" spans="1:15" x14ac:dyDescent="0.25"/>
    <row r="47" spans="1:15" x14ac:dyDescent="0.25"/>
    <row r="48" spans="1:15" x14ac:dyDescent="0.25"/>
  </sheetData>
  <sheetProtection algorithmName="SHA-512" hashValue="Z7qlVX2Vde7Bk6ZXuZIGDGtiORxnONf3oT65rp3H7AVUk0uVHU4udGqYzd6Z2sCIWMwkAu9xIloQ9iZJLl1Rjw==" saltValue="KJh5rtNRCa2plEqVrf8dnA==" spinCount="100000" sheet="1" objects="1" scenarios="1" formatCells="0" selectLockedCells="1"/>
  <mergeCells count="29">
    <mergeCell ref="E24:E25"/>
    <mergeCell ref="F24:F25"/>
    <mergeCell ref="G24:G25"/>
    <mergeCell ref="D8:G8"/>
    <mergeCell ref="D7:G7"/>
    <mergeCell ref="A24:B25"/>
    <mergeCell ref="C24:C25"/>
    <mergeCell ref="B6:C6"/>
    <mergeCell ref="G30:G32"/>
    <mergeCell ref="A26:A28"/>
    <mergeCell ref="B26:B28"/>
    <mergeCell ref="D26:D28"/>
    <mergeCell ref="E26:E28"/>
    <mergeCell ref="F26:F28"/>
    <mergeCell ref="G26:G28"/>
    <mergeCell ref="A30:A32"/>
    <mergeCell ref="B30:B32"/>
    <mergeCell ref="D30:D32"/>
    <mergeCell ref="E30:E32"/>
    <mergeCell ref="F30:F32"/>
    <mergeCell ref="D24:D25"/>
    <mergeCell ref="I35:J35"/>
    <mergeCell ref="G34:G36"/>
    <mergeCell ref="A34:A36"/>
    <mergeCell ref="B34:B36"/>
    <mergeCell ref="C34:C36"/>
    <mergeCell ref="D34:D36"/>
    <mergeCell ref="E34:E36"/>
    <mergeCell ref="F34:F36"/>
  </mergeCells>
  <dataValidations count="2">
    <dataValidation type="textLength" errorStyle="information" operator="lessThan" allowBlank="1" showInputMessage="1" showErrorMessage="1" errorTitle="Validación de Datos" error="Lo sentimos, esta celda solo acapta una cantidad de 5 caracteres." sqref="A22:G22 A8:C8 A16:G16 A20:G20 A12:G12 A10:G10 A18:G18 A14:B14 D14:G14">
      <formula1>7</formula1>
    </dataValidation>
    <dataValidation type="whole" operator="lessThanOrEqual" allowBlank="1" showInputMessage="1" showErrorMessage="1" sqref="H12">
      <formula1>5</formula1>
    </dataValidation>
  </dataValidations>
  <pageMargins left="0.7" right="0.7" top="0.75" bottom="0.75" header="0.3" footer="0.3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8" r:id="rId4" name="Button 4">
              <controlPr defaultSize="0" print="0" autoFill="0" autoPict="0" macro="[0]!IMPRIMIR">
                <anchor moveWithCells="1" sizeWithCells="1">
                  <from>
                    <xdr:col>1</xdr:col>
                    <xdr:colOff>695325</xdr:colOff>
                    <xdr:row>41</xdr:row>
                    <xdr:rowOff>95250</xdr:rowOff>
                  </from>
                  <to>
                    <xdr:col>3</xdr:col>
                    <xdr:colOff>352425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Copiar00">
                <anchor moveWithCells="1" sizeWithCells="1">
                  <from>
                    <xdr:col>4</xdr:col>
                    <xdr:colOff>0</xdr:colOff>
                    <xdr:row>41</xdr:row>
                    <xdr:rowOff>76200</xdr:rowOff>
                  </from>
                  <to>
                    <xdr:col>6</xdr:col>
                    <xdr:colOff>76200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7" tint="-0.249977111117893"/>
  </sheetPr>
  <dimension ref="A1:XFD48"/>
  <sheetViews>
    <sheetView showGridLines="0" showRowColHeaders="0" topLeftCell="A10" zoomScaleNormal="100" zoomScaleSheetLayoutView="100" workbookViewId="0">
      <selection activeCell="A10" sqref="A10"/>
    </sheetView>
  </sheetViews>
  <sheetFormatPr baseColWidth="10" defaultColWidth="0" defaultRowHeight="15" zeroHeight="1" x14ac:dyDescent="0.25"/>
  <cols>
    <col min="1" max="1" width="16.7109375" bestFit="1" customWidth="1"/>
    <col min="2" max="2" width="14.42578125" bestFit="1" customWidth="1"/>
    <col min="3" max="3" width="22" bestFit="1" customWidth="1"/>
    <col min="4" max="4" width="13.7109375" bestFit="1" customWidth="1"/>
    <col min="5" max="5" width="17.7109375" bestFit="1" customWidth="1"/>
    <col min="6" max="6" width="12.42578125" bestFit="1" customWidth="1"/>
    <col min="7" max="7" width="18.7109375" bestFit="1" customWidth="1"/>
    <col min="8" max="8" width="10.5703125" bestFit="1" customWidth="1"/>
    <col min="9" max="9" width="22.5703125" bestFit="1" customWidth="1"/>
    <col min="10" max="10" width="11.42578125" customWidth="1"/>
  </cols>
  <sheetData>
    <row r="1" spans="1:15 16384:16384" x14ac:dyDescent="0.25">
      <c r="A1" s="1"/>
      <c r="B1" s="1"/>
      <c r="C1" s="1"/>
      <c r="D1" s="1"/>
      <c r="E1" s="1"/>
      <c r="F1" s="1"/>
      <c r="G1" s="1"/>
      <c r="H1" s="6"/>
    </row>
    <row r="2" spans="1:15 16384:16384" ht="15" customHeight="1" x14ac:dyDescent="0.25">
      <c r="A2" s="1"/>
      <c r="B2" s="1"/>
      <c r="C2" s="1"/>
      <c r="D2" s="1"/>
      <c r="E2" s="1"/>
      <c r="F2" s="1"/>
      <c r="G2" s="1"/>
      <c r="H2" s="6"/>
    </row>
    <row r="3" spans="1:15 16384:16384" ht="15" customHeight="1" x14ac:dyDescent="0.25">
      <c r="A3" s="1"/>
      <c r="B3" s="1"/>
      <c r="C3" s="1"/>
      <c r="D3" s="1"/>
      <c r="E3" s="1"/>
      <c r="F3" s="1"/>
      <c r="G3" s="1"/>
      <c r="H3" s="6"/>
    </row>
    <row r="4" spans="1:15 16384:16384" ht="15" customHeight="1" x14ac:dyDescent="0.25">
      <c r="A4" s="1"/>
      <c r="B4" s="1"/>
      <c r="C4" s="1"/>
      <c r="D4" s="1"/>
      <c r="E4" s="1"/>
      <c r="F4" s="1"/>
      <c r="G4" s="1"/>
      <c r="H4" s="6"/>
    </row>
    <row r="5" spans="1:15 16384:16384" ht="12" customHeight="1" x14ac:dyDescent="0.25">
      <c r="A5" s="1"/>
      <c r="B5" s="1"/>
      <c r="C5" s="1"/>
      <c r="D5" s="1"/>
      <c r="E5" s="1"/>
      <c r="F5" s="1"/>
      <c r="G5" s="1"/>
      <c r="H5" s="6"/>
    </row>
    <row r="6" spans="1:15 16384:16384" s="38" customFormat="1" ht="18" customHeight="1" x14ac:dyDescent="0.25">
      <c r="A6" s="45" t="s">
        <v>141</v>
      </c>
      <c r="B6" s="319" t="s">
        <v>440</v>
      </c>
      <c r="C6" s="319"/>
      <c r="D6" s="1"/>
      <c r="E6" s="1"/>
      <c r="F6" s="1"/>
      <c r="G6" s="1"/>
      <c r="H6" s="44"/>
      <c r="I6" s="44"/>
      <c r="J6" s="44"/>
      <c r="K6" s="41"/>
      <c r="L6" s="41"/>
      <c r="M6" s="41"/>
      <c r="N6" s="41"/>
      <c r="O6" s="41"/>
    </row>
    <row r="7" spans="1:15 16384:16384" s="38" customFormat="1" x14ac:dyDescent="0.25">
      <c r="A7" s="33" t="s">
        <v>0</v>
      </c>
      <c r="B7" s="33" t="s">
        <v>1</v>
      </c>
      <c r="C7" s="33" t="s">
        <v>75</v>
      </c>
      <c r="D7" s="320" t="s">
        <v>195</v>
      </c>
      <c r="E7" s="321"/>
      <c r="F7" s="321"/>
      <c r="G7" s="322"/>
      <c r="H7" s="44"/>
      <c r="I7" s="44"/>
      <c r="J7" s="44"/>
      <c r="K7" s="41"/>
      <c r="L7" s="41"/>
      <c r="M7" s="41"/>
      <c r="N7" s="41"/>
      <c r="O7" s="41"/>
      <c r="XFD7" s="44"/>
    </row>
    <row r="8" spans="1:15 16384:16384" s="38" customFormat="1" x14ac:dyDescent="0.25">
      <c r="A8" s="59" t="s">
        <v>2</v>
      </c>
      <c r="B8" s="58" t="s">
        <v>449</v>
      </c>
      <c r="C8" s="60">
        <v>78486</v>
      </c>
      <c r="D8" s="323">
        <v>46082</v>
      </c>
      <c r="E8" s="324"/>
      <c r="F8" s="324"/>
      <c r="G8" s="325"/>
      <c r="H8" s="44"/>
      <c r="I8" s="44"/>
      <c r="K8" s="41" t="s">
        <v>173</v>
      </c>
      <c r="L8" s="41" t="s">
        <v>174</v>
      </c>
      <c r="M8" s="41" t="s">
        <v>175</v>
      </c>
      <c r="N8" s="41" t="s">
        <v>176</v>
      </c>
      <c r="O8" s="41"/>
    </row>
    <row r="9" spans="1:15 16384:16384" s="38" customFormat="1" x14ac:dyDescent="0.25">
      <c r="A9" s="33" t="s">
        <v>3</v>
      </c>
      <c r="B9" s="33" t="s">
        <v>4</v>
      </c>
      <c r="C9" s="33" t="s">
        <v>54</v>
      </c>
      <c r="D9" s="33" t="s">
        <v>5</v>
      </c>
      <c r="E9" s="33" t="s">
        <v>46</v>
      </c>
      <c r="F9" s="33" t="s">
        <v>6</v>
      </c>
      <c r="G9" s="33" t="s">
        <v>7</v>
      </c>
      <c r="H9" s="44"/>
      <c r="I9" s="44"/>
      <c r="J9" s="44"/>
      <c r="K9" s="40">
        <v>0</v>
      </c>
      <c r="L9" s="40">
        <v>84358</v>
      </c>
      <c r="M9" s="40">
        <v>84620</v>
      </c>
      <c r="N9" s="40">
        <v>0</v>
      </c>
      <c r="O9" s="41"/>
    </row>
    <row r="10" spans="1:15 16384:16384" s="38" customFormat="1" x14ac:dyDescent="0.25">
      <c r="A10" s="661" t="s">
        <v>354</v>
      </c>
      <c r="B10" s="58" t="s">
        <v>451</v>
      </c>
      <c r="C10" s="83" t="str">
        <f>IF(A29="",1,IF(A29&gt;0,10&amp;A29*10,11&amp;ABS(A29)*10))</f>
        <v>10262</v>
      </c>
      <c r="D10" s="83" t="str">
        <f>IF(B29="",2,IF(B29&gt;0,20&amp;ROUND(B29*10,0),21&amp;ROUND(ABS(B29)*10,0)))</f>
        <v>20212</v>
      </c>
      <c r="E10" s="84" t="str">
        <f>IF(C31="",4,IF(AND(C37&lt;1000,C37&gt;800),4&amp;C37*10,40&amp;TEXT((C37-INT(C37/1000)*1000)*10,"000")))</f>
        <v>40166</v>
      </c>
      <c r="F10" s="58" t="s">
        <v>414</v>
      </c>
      <c r="G10" s="58" t="s">
        <v>8</v>
      </c>
      <c r="H10" s="44"/>
      <c r="I10" s="44"/>
      <c r="J10" s="44"/>
      <c r="K10" s="40" t="str">
        <f>IFERROR(INDEX(FORMULAS!$P$30:$P$50, MATCH(VALUE(MID($K$9,4,2)), FORMULAS!$Q$30:$Q$50, 0)), "")</f>
        <v/>
      </c>
      <c r="L10" s="40">
        <f>IFERROR(INDEX(FORMULAS!$N$30:$N$42, MATCH(VALUE(MID($L$9,4,2)), FORMULAS!$O$30:$O$42, 0)), "")</f>
        <v>2438</v>
      </c>
      <c r="M10" s="40">
        <f>IFERROR(INDEX(FORMULAS!$L$30:$L$77, MATCH(VALUE(MID($M$9,4,2)), FORMULAS!$M$30:$M$77, 0)), "")</f>
        <v>610</v>
      </c>
      <c r="N10" s="40" t="str">
        <f>IFERROR(INDEX(FORMULAS!$L$30:$L$77, MATCH(VALUE(MID($N$9,4,2)), FORMULAS!$M$30:$M$77, 0)), "")</f>
        <v/>
      </c>
      <c r="O10" s="41"/>
    </row>
    <row r="11" spans="1:15 16384:16384" s="38" customFormat="1" x14ac:dyDescent="0.25">
      <c r="A11" s="33" t="s">
        <v>45</v>
      </c>
      <c r="B11" s="33" t="s">
        <v>10</v>
      </c>
      <c r="C11" s="33" t="s">
        <v>57</v>
      </c>
      <c r="D11" s="33" t="s">
        <v>11</v>
      </c>
      <c r="E11" s="33" t="s">
        <v>12</v>
      </c>
      <c r="F11" s="33" t="s">
        <v>13</v>
      </c>
      <c r="G11" s="33" t="s">
        <v>14</v>
      </c>
      <c r="H11" s="44"/>
      <c r="I11" s="44"/>
      <c r="J11" s="44"/>
      <c r="K11" s="41"/>
      <c r="L11" s="41"/>
      <c r="M11" s="41"/>
      <c r="N11" s="41"/>
      <c r="O11" s="41"/>
    </row>
    <row r="12" spans="1:15 16384:16384" s="38" customFormat="1" x14ac:dyDescent="0.25">
      <c r="A12" s="58" t="s">
        <v>400</v>
      </c>
      <c r="B12" s="58" t="s">
        <v>37</v>
      </c>
      <c r="C12" s="58"/>
      <c r="D12" s="58" t="s">
        <v>36</v>
      </c>
      <c r="E12" s="58" t="s">
        <v>35</v>
      </c>
      <c r="F12" s="58" t="s">
        <v>360</v>
      </c>
      <c r="G12" s="58"/>
      <c r="H12" s="44"/>
      <c r="I12" s="44"/>
      <c r="J12" s="44"/>
      <c r="K12" s="48" t="s">
        <v>361</v>
      </c>
      <c r="L12" s="42"/>
      <c r="M12" s="41"/>
      <c r="N12" s="41"/>
      <c r="O12" s="41"/>
    </row>
    <row r="13" spans="1:15 16384:16384" s="38" customFormat="1" x14ac:dyDescent="0.25">
      <c r="A13" s="33" t="s">
        <v>15</v>
      </c>
      <c r="B13" s="33" t="s">
        <v>48</v>
      </c>
      <c r="C13" s="33" t="s">
        <v>49</v>
      </c>
      <c r="D13" s="33" t="s">
        <v>16</v>
      </c>
      <c r="E13" s="33" t="s">
        <v>47</v>
      </c>
      <c r="F13" s="33" t="s">
        <v>55</v>
      </c>
      <c r="G13" s="33" t="s">
        <v>9</v>
      </c>
      <c r="H13" s="44"/>
      <c r="I13" s="44"/>
      <c r="J13" s="44"/>
      <c r="K13" s="41"/>
      <c r="L13" s="41"/>
      <c r="M13" s="41"/>
      <c r="N13" s="41"/>
      <c r="O13" s="41"/>
    </row>
    <row r="14" spans="1:15 16384:16384" s="38" customFormat="1" x14ac:dyDescent="0.25">
      <c r="A14" s="58"/>
      <c r="B14" s="58" t="s">
        <v>361</v>
      </c>
      <c r="C14" s="83" t="str">
        <f>IF(E33=0, "58",IF(E37 &gt;= 0, CONCATENATE("58",TEXT(ABS(E37*10),"000")),CONCATENATE("59",TEXT(ABS(E37)*10,"000"))))</f>
        <v>58000</v>
      </c>
      <c r="D14" s="58" t="s">
        <v>17</v>
      </c>
      <c r="E14" s="58" t="s">
        <v>18</v>
      </c>
      <c r="F14" s="58" t="s">
        <v>452</v>
      </c>
      <c r="G14" s="58" t="s">
        <v>453</v>
      </c>
      <c r="H14" s="44"/>
      <c r="I14" s="44"/>
      <c r="J14" s="44"/>
      <c r="K14" s="41"/>
      <c r="L14" s="41"/>
      <c r="M14" s="41"/>
      <c r="N14" s="41"/>
      <c r="O14" s="41"/>
    </row>
    <row r="15" spans="1:15 16384:16384" s="38" customFormat="1" x14ac:dyDescent="0.25">
      <c r="A15" s="33" t="s">
        <v>9</v>
      </c>
      <c r="B15" s="33" t="s">
        <v>9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44"/>
      <c r="I15" s="44"/>
      <c r="J15" s="44"/>
      <c r="K15" s="41"/>
      <c r="L15" s="41"/>
      <c r="M15" s="41"/>
      <c r="N15" s="41"/>
      <c r="O15" s="41"/>
    </row>
    <row r="16" spans="1:15 16384:16384" s="38" customFormat="1" x14ac:dyDescent="0.25">
      <c r="A16" s="58" t="s">
        <v>172</v>
      </c>
      <c r="B16" s="58" t="s">
        <v>172</v>
      </c>
      <c r="C16" s="58" t="s">
        <v>454</v>
      </c>
      <c r="D16" s="58" t="s">
        <v>420</v>
      </c>
      <c r="E16" s="58" t="s">
        <v>455</v>
      </c>
      <c r="F16" s="58" t="s">
        <v>387</v>
      </c>
      <c r="G16" s="58" t="s">
        <v>456</v>
      </c>
      <c r="H16" s="44"/>
      <c r="I16" s="44"/>
      <c r="J16" s="44"/>
      <c r="K16" s="41"/>
      <c r="L16" s="41"/>
      <c r="M16" s="41"/>
      <c r="N16" s="41"/>
      <c r="O16" s="41"/>
    </row>
    <row r="17" spans="1:15" s="38" customFormat="1" x14ac:dyDescent="0.25">
      <c r="A17" s="33" t="s">
        <v>56</v>
      </c>
      <c r="B17" s="33" t="s">
        <v>56</v>
      </c>
      <c r="C17" s="33" t="s">
        <v>56</v>
      </c>
      <c r="D17" s="33" t="s">
        <v>56</v>
      </c>
      <c r="E17" s="33" t="s">
        <v>56</v>
      </c>
      <c r="F17" s="33" t="s">
        <v>56</v>
      </c>
      <c r="G17" s="33" t="s">
        <v>56</v>
      </c>
      <c r="H17" s="44"/>
      <c r="I17" s="44"/>
      <c r="J17" s="44"/>
      <c r="K17" s="41"/>
      <c r="L17" s="41"/>
      <c r="M17" s="41"/>
      <c r="N17" s="41"/>
      <c r="O17" s="41"/>
    </row>
    <row r="18" spans="1:15" s="38" customFormat="1" x14ac:dyDescent="0.25">
      <c r="A18" s="58" t="s">
        <v>226</v>
      </c>
      <c r="B18" s="58" t="s">
        <v>226</v>
      </c>
      <c r="C18" s="58" t="s">
        <v>226</v>
      </c>
      <c r="D18" s="58" t="s">
        <v>226</v>
      </c>
      <c r="E18" s="58" t="s">
        <v>226</v>
      </c>
      <c r="F18" s="58" t="s">
        <v>226</v>
      </c>
      <c r="G18" s="58" t="s">
        <v>226</v>
      </c>
      <c r="H18" s="44"/>
      <c r="I18" s="44"/>
      <c r="J18" s="44"/>
      <c r="K18" s="41"/>
      <c r="L18" s="41"/>
      <c r="M18" s="41"/>
      <c r="N18" s="41"/>
      <c r="O18" s="41"/>
    </row>
    <row r="19" spans="1:15" s="38" customFormat="1" x14ac:dyDescent="0.25">
      <c r="A19" s="33" t="s">
        <v>56</v>
      </c>
      <c r="B19" s="33" t="s">
        <v>56</v>
      </c>
      <c r="C19" s="33" t="s">
        <v>56</v>
      </c>
      <c r="D19" s="33" t="s">
        <v>56</v>
      </c>
      <c r="E19" s="33" t="s">
        <v>56</v>
      </c>
      <c r="F19" s="33" t="s">
        <v>56</v>
      </c>
      <c r="G19" s="33" t="s">
        <v>56</v>
      </c>
      <c r="H19" s="44"/>
      <c r="I19" s="44"/>
      <c r="J19" s="44"/>
      <c r="K19" s="41"/>
      <c r="L19" s="41"/>
      <c r="M19" s="41"/>
      <c r="N19" s="41"/>
      <c r="O19" s="41"/>
    </row>
    <row r="20" spans="1:15" s="38" customFormat="1" x14ac:dyDescent="0.25">
      <c r="A20" s="58" t="s">
        <v>226</v>
      </c>
      <c r="B20" s="58" t="s">
        <v>226</v>
      </c>
      <c r="C20" s="58" t="s">
        <v>226</v>
      </c>
      <c r="D20" s="58" t="s">
        <v>226</v>
      </c>
      <c r="E20" s="58" t="s">
        <v>226</v>
      </c>
      <c r="F20" s="58" t="s">
        <v>226</v>
      </c>
      <c r="G20" s="58" t="s">
        <v>226</v>
      </c>
      <c r="H20" s="41"/>
      <c r="I20"/>
      <c r="J20"/>
      <c r="K20" s="41"/>
      <c r="L20" s="41"/>
      <c r="M20" s="41"/>
      <c r="N20" s="41"/>
      <c r="O20" s="41"/>
    </row>
    <row r="21" spans="1:15" s="38" customFormat="1" x14ac:dyDescent="0.25">
      <c r="A21" s="33" t="s">
        <v>56</v>
      </c>
      <c r="B21" s="33" t="s">
        <v>56</v>
      </c>
      <c r="C21" s="33" t="s">
        <v>56</v>
      </c>
      <c r="D21" s="33" t="s">
        <v>56</v>
      </c>
      <c r="E21" s="33" t="s">
        <v>56</v>
      </c>
      <c r="F21" s="34">
        <v>555</v>
      </c>
      <c r="G21" s="34" t="s">
        <v>20</v>
      </c>
      <c r="H21" s="41"/>
      <c r="I21"/>
      <c r="J21"/>
      <c r="K21" s="41"/>
      <c r="L21" s="41"/>
      <c r="M21" s="41"/>
      <c r="N21" s="41"/>
      <c r="O21" s="41"/>
    </row>
    <row r="22" spans="1:15" s="38" customFormat="1" x14ac:dyDescent="0.25">
      <c r="A22" s="58" t="s">
        <v>226</v>
      </c>
      <c r="B22" s="58" t="s">
        <v>226</v>
      </c>
      <c r="C22" s="58" t="s">
        <v>226</v>
      </c>
      <c r="D22" s="58" t="s">
        <v>226</v>
      </c>
      <c r="E22" s="58" t="s">
        <v>226</v>
      </c>
      <c r="F22" s="58" t="s">
        <v>22</v>
      </c>
      <c r="G22" s="83" t="str">
        <f>IF(B37=100,"29100",290&amp;TEXT(B37,0))</f>
        <v>29073</v>
      </c>
      <c r="H22" s="41"/>
      <c r="K22" s="41"/>
      <c r="L22" s="41"/>
      <c r="M22" s="41"/>
      <c r="N22" s="41"/>
      <c r="O22" s="41"/>
    </row>
    <row r="23" spans="1:15" s="38" customFormat="1" ht="0.75" customHeight="1" x14ac:dyDescent="0.25">
      <c r="A23" s="7"/>
      <c r="B23" s="7"/>
      <c r="C23" s="7"/>
      <c r="D23" s="7"/>
      <c r="E23" s="7"/>
      <c r="F23" s="7"/>
      <c r="G23" s="7"/>
      <c r="H23" s="41"/>
      <c r="K23" s="41"/>
      <c r="L23" s="41"/>
      <c r="M23" s="41"/>
      <c r="N23" s="41"/>
      <c r="O23" s="41"/>
    </row>
    <row r="24" spans="1:15" s="38" customFormat="1" x14ac:dyDescent="0.25">
      <c r="A24" s="326" t="s">
        <v>53</v>
      </c>
      <c r="B24" s="327"/>
      <c r="C24" s="330" t="s">
        <v>65</v>
      </c>
      <c r="D24" s="330" t="s">
        <v>23</v>
      </c>
      <c r="E24" s="330" t="s">
        <v>24</v>
      </c>
      <c r="F24" s="330" t="s">
        <v>59</v>
      </c>
      <c r="G24" s="330" t="s">
        <v>60</v>
      </c>
      <c r="H24" s="41"/>
      <c r="K24" s="41"/>
      <c r="L24" s="41"/>
      <c r="M24" s="41"/>
      <c r="N24" s="41"/>
      <c r="O24" s="41"/>
    </row>
    <row r="25" spans="1:15" s="38" customFormat="1" x14ac:dyDescent="0.25">
      <c r="A25" s="328"/>
      <c r="B25" s="329"/>
      <c r="C25" s="331"/>
      <c r="D25" s="331"/>
      <c r="E25" s="331"/>
      <c r="F25" s="331"/>
      <c r="G25" s="331"/>
      <c r="H25" s="41"/>
      <c r="K25" s="41"/>
      <c r="L25" s="41"/>
      <c r="M25" s="41"/>
      <c r="N25" s="41"/>
      <c r="O25" s="41"/>
    </row>
    <row r="26" spans="1:15" s="38" customFormat="1" x14ac:dyDescent="0.25">
      <c r="A26" s="316" t="s">
        <v>38</v>
      </c>
      <c r="B26" s="316" t="s">
        <v>40</v>
      </c>
      <c r="C26" s="33" t="s">
        <v>64</v>
      </c>
      <c r="D26" s="316" t="s">
        <v>62</v>
      </c>
      <c r="E26" s="316" t="s">
        <v>61</v>
      </c>
      <c r="F26" s="316" t="s">
        <v>58</v>
      </c>
      <c r="G26" s="316" t="s">
        <v>58</v>
      </c>
      <c r="H26" s="46">
        <f>6.112*EXP((17.67*A33)/(A33+243.5))</f>
        <v>27.411855029247686</v>
      </c>
      <c r="K26" s="41"/>
      <c r="L26" s="41"/>
      <c r="M26" s="41"/>
      <c r="N26" s="41"/>
      <c r="O26" s="41"/>
    </row>
    <row r="27" spans="1:15" s="38" customFormat="1" x14ac:dyDescent="0.25">
      <c r="A27" s="317"/>
      <c r="B27" s="317"/>
      <c r="C27" s="58"/>
      <c r="D27" s="317"/>
      <c r="E27" s="317"/>
      <c r="F27" s="317"/>
      <c r="G27" s="317"/>
      <c r="H27" s="47">
        <f>0.00066*1000*(1+0.00115*A33)</f>
        <v>0.67715340000000002</v>
      </c>
      <c r="K27" s="41"/>
      <c r="L27" s="41"/>
      <c r="M27" s="41"/>
      <c r="N27" s="41"/>
      <c r="O27" s="41"/>
    </row>
    <row r="28" spans="1:15" s="38" customFormat="1" x14ac:dyDescent="0.25">
      <c r="A28" s="318"/>
      <c r="B28" s="318"/>
      <c r="C28" s="33" t="s">
        <v>43</v>
      </c>
      <c r="D28" s="318"/>
      <c r="E28" s="318"/>
      <c r="F28" s="318"/>
      <c r="G28" s="318"/>
      <c r="H28" s="46">
        <f>6.112*EXP((17.67*A29)/(A29+243.5))</f>
        <v>34.015141917853427</v>
      </c>
      <c r="K28" s="41"/>
      <c r="L28" s="41"/>
      <c r="M28" s="41"/>
      <c r="N28" s="41"/>
      <c r="O28" s="41"/>
    </row>
    <row r="29" spans="1:15" s="38" customFormat="1" x14ac:dyDescent="0.25">
      <c r="A29" s="58" t="s">
        <v>450</v>
      </c>
      <c r="B29" s="62">
        <f xml:space="preserve"> IFERROR((A29 - (14.55 + 0.114 * A29) * (1 - (0.01 * B37)) - ((2.5 + 0.007 * A29) * (1 - (0.01 * B37))) ^ 3 - (15.9 + 0.117 *A29) * (1 - (0.01 * B37)) ^ 14),"")</f>
        <v>21.175991394175391</v>
      </c>
      <c r="C29" s="58"/>
      <c r="D29" s="62">
        <f>'0000Z'!C31</f>
        <v>14</v>
      </c>
      <c r="E29" s="61">
        <v>15</v>
      </c>
      <c r="F29" s="58"/>
      <c r="G29" s="58"/>
      <c r="H29" s="41"/>
      <c r="K29" s="41"/>
      <c r="L29" s="41"/>
      <c r="M29" s="41"/>
      <c r="N29" s="41"/>
      <c r="O29" s="41"/>
    </row>
    <row r="30" spans="1:15" s="38" customFormat="1" x14ac:dyDescent="0.25">
      <c r="A30" s="316" t="s">
        <v>39</v>
      </c>
      <c r="B30" s="316" t="s">
        <v>41</v>
      </c>
      <c r="C30" s="33" t="s">
        <v>44</v>
      </c>
      <c r="D30" s="316" t="s">
        <v>51</v>
      </c>
      <c r="E30" s="316" t="s">
        <v>51</v>
      </c>
      <c r="F30" s="316" t="s">
        <v>50</v>
      </c>
      <c r="G30" s="316" t="s">
        <v>50</v>
      </c>
      <c r="H30" s="41"/>
      <c r="K30" s="41"/>
      <c r="L30" s="41"/>
      <c r="M30" s="41"/>
      <c r="N30" s="41"/>
      <c r="O30" s="41"/>
    </row>
    <row r="31" spans="1:15" s="38" customFormat="1" x14ac:dyDescent="0.25">
      <c r="A31" s="317"/>
      <c r="B31" s="317"/>
      <c r="C31" s="61">
        <v>15</v>
      </c>
      <c r="D31" s="317"/>
      <c r="E31" s="317"/>
      <c r="F31" s="317"/>
      <c r="G31" s="317"/>
      <c r="H31" s="41"/>
      <c r="K31" s="41"/>
      <c r="L31" s="41"/>
      <c r="M31" s="41"/>
      <c r="N31" s="41"/>
      <c r="O31" s="41"/>
    </row>
    <row r="32" spans="1:15" s="38" customFormat="1" x14ac:dyDescent="0.25">
      <c r="A32" s="318"/>
      <c r="B32" s="318"/>
      <c r="C32" s="33" t="s">
        <v>63</v>
      </c>
      <c r="D32" s="318"/>
      <c r="E32" s="318"/>
      <c r="F32" s="318"/>
      <c r="G32" s="318"/>
      <c r="K32" s="41"/>
      <c r="L32" s="41"/>
      <c r="M32" s="41"/>
      <c r="N32" s="41"/>
      <c r="O32" s="41"/>
    </row>
    <row r="33" spans="1:15" s="38" customFormat="1" x14ac:dyDescent="0.25">
      <c r="A33" s="61">
        <v>22.6</v>
      </c>
      <c r="B33" s="62">
        <f>IF(ROUND(H26-H27*(A29-A33), 1) = 6.1, "  ", H26-H27*(A29-A33))</f>
        <v>24.974102789247688</v>
      </c>
      <c r="C33" s="62">
        <f>IF(C8="","",VLOOKUP(C8,FORMULAS!O:T,3,FALSE))</f>
        <v>1.6</v>
      </c>
      <c r="D33" s="62">
        <f>C31</f>
        <v>15</v>
      </c>
      <c r="E33" s="62">
        <f>C31</f>
        <v>15</v>
      </c>
      <c r="F33" s="63"/>
      <c r="G33" s="63"/>
      <c r="H33" s="41">
        <f>IFERROR(VLOOKUP(VALUE(RIGHT(A10, 2)), FORMULAS!$S$30:$T$70, 2, FALSE), IFERROR(VLOOKUP(VALUE(RIGHT(A10, 2)), FORMULAS!$U$30:$V$64, 2, FALSE), " "))</f>
        <v>160</v>
      </c>
      <c r="K33" s="41"/>
      <c r="L33" s="41"/>
      <c r="M33" s="41"/>
      <c r="N33" s="41"/>
      <c r="O33" s="41"/>
    </row>
    <row r="34" spans="1:15" s="38" customFormat="1" x14ac:dyDescent="0.25">
      <c r="A34" s="316" t="s">
        <v>25</v>
      </c>
      <c r="B34" s="316" t="s">
        <v>42</v>
      </c>
      <c r="C34" s="316" t="s">
        <v>52</v>
      </c>
      <c r="D34" s="316" t="s">
        <v>25</v>
      </c>
      <c r="E34" s="316" t="s">
        <v>25</v>
      </c>
      <c r="F34" s="316" t="s">
        <v>26</v>
      </c>
      <c r="G34" s="316" t="s">
        <v>26</v>
      </c>
      <c r="K34" s="41"/>
      <c r="L34" s="41"/>
      <c r="M34" s="41"/>
      <c r="N34" s="41"/>
      <c r="O34" s="41"/>
    </row>
    <row r="35" spans="1:15" s="38" customFormat="1" x14ac:dyDescent="0.25">
      <c r="A35" s="317"/>
      <c r="B35" s="317"/>
      <c r="C35" s="317"/>
      <c r="D35" s="317"/>
      <c r="E35" s="317"/>
      <c r="F35" s="317"/>
      <c r="G35" s="317"/>
      <c r="I35" s="314" t="s">
        <v>196</v>
      </c>
      <c r="J35" s="315"/>
      <c r="K35" s="41"/>
      <c r="L35" s="41"/>
      <c r="M35" s="41"/>
      <c r="N35" s="41"/>
      <c r="O35" s="41"/>
    </row>
    <row r="36" spans="1:15" s="38" customFormat="1" x14ac:dyDescent="0.25">
      <c r="A36" s="318"/>
      <c r="B36" s="318"/>
      <c r="C36" s="318"/>
      <c r="D36" s="318"/>
      <c r="E36" s="318"/>
      <c r="F36" s="318"/>
      <c r="G36" s="318"/>
      <c r="I36" s="33" t="s">
        <v>9</v>
      </c>
      <c r="J36" s="33" t="s">
        <v>9</v>
      </c>
      <c r="K36" s="41"/>
      <c r="L36" s="41"/>
      <c r="M36" s="41"/>
      <c r="N36" s="41"/>
      <c r="O36" s="41"/>
    </row>
    <row r="37" spans="1:15" s="38" customFormat="1" x14ac:dyDescent="0.25">
      <c r="A37" s="62">
        <f>A29 - A33</f>
        <v>3.5999999999999979</v>
      </c>
      <c r="B37" s="64">
        <f>IFERROR((B33/H28)*100, "")</f>
        <v>73.420545619242603</v>
      </c>
      <c r="C37" s="62">
        <f>IFERROR(SUM(C31) + (C33), " ")</f>
        <v>16.600000000000001</v>
      </c>
      <c r="D37" s="62">
        <f>SUM(D33 - D29 )</f>
        <v>1</v>
      </c>
      <c r="E37" s="62">
        <f>SUM(E33 - E29)</f>
        <v>0</v>
      </c>
      <c r="F37" s="58"/>
      <c r="G37" s="58"/>
      <c r="I37" s="58" t="s">
        <v>172</v>
      </c>
      <c r="J37" s="58">
        <v>8</v>
      </c>
      <c r="K37" s="41"/>
      <c r="L37" s="41"/>
      <c r="M37" s="41"/>
      <c r="N37" s="41"/>
      <c r="O37" s="41"/>
    </row>
    <row r="38" spans="1:15" x14ac:dyDescent="0.25">
      <c r="H38" s="38"/>
      <c r="I38" s="38"/>
    </row>
    <row r="39" spans="1:15" x14ac:dyDescent="0.25">
      <c r="H39" s="38"/>
      <c r="I39" s="38"/>
    </row>
    <row r="40" spans="1:15" x14ac:dyDescent="0.25"/>
    <row r="41" spans="1:15" x14ac:dyDescent="0.25"/>
    <row r="42" spans="1:15" x14ac:dyDescent="0.25"/>
    <row r="43" spans="1:15" x14ac:dyDescent="0.25"/>
    <row r="44" spans="1:15" x14ac:dyDescent="0.25"/>
    <row r="45" spans="1:15" x14ac:dyDescent="0.25"/>
    <row r="46" spans="1:15" x14ac:dyDescent="0.25"/>
    <row r="47" spans="1:15" x14ac:dyDescent="0.25"/>
    <row r="48" spans="1:15" x14ac:dyDescent="0.25"/>
  </sheetData>
  <sheetProtection algorithmName="SHA-512" hashValue="NWF9MB/H4UrUpKQV2vqPTo/nzL+QUuK/Md9GexaNw/4sC7ReRIMkoLo4Fp7zlgWcNfUCtdnsoK/yic1KxzJq9A==" saltValue="1GtSc75nhNKvVAcw29j5VQ==" spinCount="100000" sheet="1" objects="1" scenarios="1" formatCells="0" selectLockedCells="1"/>
  <mergeCells count="29">
    <mergeCell ref="E30:E32"/>
    <mergeCell ref="F30:F32"/>
    <mergeCell ref="C24:C25"/>
    <mergeCell ref="D24:D25"/>
    <mergeCell ref="E24:E25"/>
    <mergeCell ref="B6:C6"/>
    <mergeCell ref="F26:F28"/>
    <mergeCell ref="G26:G28"/>
    <mergeCell ref="A30:A32"/>
    <mergeCell ref="D8:G8"/>
    <mergeCell ref="F24:F25"/>
    <mergeCell ref="G24:G25"/>
    <mergeCell ref="B30:B32"/>
    <mergeCell ref="D30:D32"/>
    <mergeCell ref="A24:B25"/>
    <mergeCell ref="G30:G32"/>
    <mergeCell ref="A26:A28"/>
    <mergeCell ref="B26:B28"/>
    <mergeCell ref="D26:D28"/>
    <mergeCell ref="E26:E28"/>
    <mergeCell ref="D7:G7"/>
    <mergeCell ref="I35:J35"/>
    <mergeCell ref="G34:G36"/>
    <mergeCell ref="A34:A36"/>
    <mergeCell ref="B34:B36"/>
    <mergeCell ref="C34:C36"/>
    <mergeCell ref="D34:D36"/>
    <mergeCell ref="E34:E36"/>
    <mergeCell ref="F34:F36"/>
  </mergeCells>
  <dataValidations count="2">
    <dataValidation type="textLength" errorStyle="information" operator="lessThan" allowBlank="1" showInputMessage="1" showErrorMessage="1" errorTitle="Validación de Datos" error="Lo sentimos, esta celda solo acapta una cantidad de 5 caracteres." sqref="A22:G22 A20:G20 A18:G18 A12:G12 A10:G10 A8:C8 A16:G16 A14:B14 D14:G14">
      <formula1>7</formula1>
    </dataValidation>
    <dataValidation type="whole" operator="lessThanOrEqual" allowBlank="1" showInputMessage="1" showErrorMessage="1" sqref="H12">
      <formula1>5</formula1>
    </dataValidation>
  </dataValidations>
  <pageMargins left="0.7" right="0.7" top="0.75" bottom="0.75" header="0.3" footer="0.3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IMPRIMIR">
                <anchor moveWithCells="1" sizeWithCells="1">
                  <from>
                    <xdr:col>1</xdr:col>
                    <xdr:colOff>619125</xdr:colOff>
                    <xdr:row>41</xdr:row>
                    <xdr:rowOff>114300</xdr:rowOff>
                  </from>
                  <to>
                    <xdr:col>3</xdr:col>
                    <xdr:colOff>257175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Copiar03">
                <anchor moveWithCells="1" sizeWithCells="1">
                  <from>
                    <xdr:col>4</xdr:col>
                    <xdr:colOff>57150</xdr:colOff>
                    <xdr:row>41</xdr:row>
                    <xdr:rowOff>57150</xdr:rowOff>
                  </from>
                  <to>
                    <xdr:col>6</xdr:col>
                    <xdr:colOff>133350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/>
  <dimension ref="A1:V77"/>
  <sheetViews>
    <sheetView topLeftCell="I33" zoomScale="115" zoomScaleNormal="115" workbookViewId="0">
      <selection activeCell="O42" sqref="O42"/>
    </sheetView>
  </sheetViews>
  <sheetFormatPr baseColWidth="10" defaultRowHeight="15" x14ac:dyDescent="0.25"/>
  <cols>
    <col min="2" max="2" width="11.5703125" bestFit="1" customWidth="1"/>
    <col min="3" max="3" width="14" bestFit="1" customWidth="1"/>
    <col min="4" max="4" width="13.140625" bestFit="1" customWidth="1"/>
    <col min="5" max="5" width="14.140625" bestFit="1" customWidth="1"/>
    <col min="6" max="7" width="11.5703125" bestFit="1" customWidth="1"/>
    <col min="8" max="8" width="14" bestFit="1" customWidth="1"/>
    <col min="9" max="9" width="13.140625" bestFit="1" customWidth="1"/>
    <col min="10" max="10" width="14.140625" bestFit="1" customWidth="1"/>
    <col min="12" max="14" width="11.42578125" style="302"/>
    <col min="15" max="15" width="6.140625" style="302" bestFit="1" customWidth="1"/>
    <col min="16" max="16" width="16.140625" style="302" bestFit="1" customWidth="1"/>
    <col min="17" max="17" width="5" style="302" bestFit="1" customWidth="1"/>
  </cols>
  <sheetData>
    <row r="1" spans="1:20" x14ac:dyDescent="0.25">
      <c r="A1" t="s">
        <v>323</v>
      </c>
      <c r="B1">
        <v>30092025</v>
      </c>
      <c r="L1"/>
      <c r="M1"/>
      <c r="N1"/>
      <c r="O1" s="70" t="s">
        <v>334</v>
      </c>
      <c r="P1" s="70" t="s">
        <v>335</v>
      </c>
      <c r="Q1" s="70" t="s">
        <v>339</v>
      </c>
      <c r="R1" s="70" t="s">
        <v>336</v>
      </c>
      <c r="S1" s="70" t="s">
        <v>337</v>
      </c>
      <c r="T1" s="70" t="s">
        <v>338</v>
      </c>
    </row>
    <row r="2" spans="1:20" x14ac:dyDescent="0.25">
      <c r="B2" s="334" t="s">
        <v>32</v>
      </c>
      <c r="C2" s="335"/>
      <c r="D2" s="335"/>
      <c r="E2" s="336"/>
      <c r="G2" s="334" t="s">
        <v>33</v>
      </c>
      <c r="H2" s="335"/>
      <c r="I2" s="335"/>
      <c r="J2" s="336"/>
      <c r="L2" s="334" t="s">
        <v>214</v>
      </c>
      <c r="M2" s="336"/>
      <c r="N2"/>
      <c r="O2" s="67">
        <v>78451</v>
      </c>
      <c r="P2" s="67" t="s">
        <v>321</v>
      </c>
      <c r="Q2" s="67">
        <v>0.5</v>
      </c>
      <c r="R2" s="67">
        <v>19.849900000000002</v>
      </c>
      <c r="S2" s="67">
        <v>-71.653499999999994</v>
      </c>
      <c r="T2" s="67">
        <v>8</v>
      </c>
    </row>
    <row r="3" spans="1:20" x14ac:dyDescent="0.25">
      <c r="B3" s="70" t="s">
        <v>4</v>
      </c>
      <c r="C3" s="70" t="s">
        <v>213</v>
      </c>
      <c r="D3" s="70" t="s">
        <v>212</v>
      </c>
      <c r="E3" s="76" t="s">
        <v>3</v>
      </c>
      <c r="G3" s="70" t="s">
        <v>4</v>
      </c>
      <c r="H3" s="70" t="s">
        <v>213</v>
      </c>
      <c r="I3" s="70" t="s">
        <v>212</v>
      </c>
      <c r="J3" s="76" t="s">
        <v>3</v>
      </c>
      <c r="L3" s="71" t="str">
        <f>MID('1200Z'!$B$10,1,1)</f>
        <v>6</v>
      </c>
      <c r="M3" s="67" t="str">
        <f>IF(MID('1200Z'!G10,2,2)="",IF(L3="","",IF(MID('0009Z'!$B$10,1,1)&gt;L3,"01",IF(MID('0009Z'!$B$10,1,1)&lt;L3,"03",IF(MID('0009Z'!$B$10,1,1)=L3,"02","")))),MID('1200Z'!G10,2,2))</f>
        <v>02</v>
      </c>
      <c r="N3" t="s">
        <v>217</v>
      </c>
      <c r="O3" s="67" t="s">
        <v>340</v>
      </c>
      <c r="P3" s="67" t="s">
        <v>322</v>
      </c>
      <c r="Q3" s="67">
        <v>0.8</v>
      </c>
      <c r="R3" s="67">
        <v>19.266999999999999</v>
      </c>
      <c r="S3" s="67">
        <v>-69.733699999999999</v>
      </c>
      <c r="T3" s="67">
        <v>4</v>
      </c>
    </row>
    <row r="4" spans="1:20" x14ac:dyDescent="0.25">
      <c r="B4" s="67"/>
      <c r="C4" s="67"/>
      <c r="D4" s="67"/>
      <c r="E4" s="74"/>
      <c r="G4" s="67"/>
      <c r="H4" s="67"/>
      <c r="I4" s="67"/>
      <c r="J4" s="74"/>
      <c r="L4" s="71" t="str">
        <f>MID('1500Z'!$B$10,1,1)</f>
        <v>5</v>
      </c>
      <c r="M4" s="67" t="str">
        <f>IF(MID('1500Z'!$G$10,2,2)="",IF(L4="","",IF(L3&gt;L4,"01",IF(L3&lt;L4,"03",IF(L3=L4,"02","")))),MID('1500Z'!$G$10,2,2))</f>
        <v>01</v>
      </c>
      <c r="N4" t="s">
        <v>218</v>
      </c>
      <c r="O4" s="67">
        <v>78458</v>
      </c>
      <c r="P4" s="67" t="s">
        <v>323</v>
      </c>
      <c r="Q4" s="67">
        <v>1</v>
      </c>
      <c r="R4" s="67">
        <v>19.754200000000001</v>
      </c>
      <c r="S4" s="67">
        <v>-70.563199999999995</v>
      </c>
      <c r="T4" s="67">
        <v>16</v>
      </c>
    </row>
    <row r="5" spans="1:20" x14ac:dyDescent="0.25">
      <c r="B5" s="68" t="s">
        <v>154</v>
      </c>
      <c r="C5" s="68" t="s">
        <v>158</v>
      </c>
      <c r="D5" s="68" t="s">
        <v>155</v>
      </c>
      <c r="E5" s="75" t="s">
        <v>52</v>
      </c>
      <c r="G5" s="68" t="s">
        <v>154</v>
      </c>
      <c r="H5" s="68" t="s">
        <v>158</v>
      </c>
      <c r="I5" s="68" t="s">
        <v>155</v>
      </c>
      <c r="J5" s="75" t="s">
        <v>52</v>
      </c>
      <c r="L5" s="71" t="str">
        <f>MID('1800Z'!$B$10,1,1)</f>
        <v>7</v>
      </c>
      <c r="M5" s="67" t="str">
        <f>IF(MID('1800Z'!$G$10,2,2)="",IF(L5="","",IF(L4&gt;L5,"01",IF(L4&lt;L5,"03",IF(L4=L5,"02","")))),MID('1800Z'!$G$10,2,2))</f>
        <v>03</v>
      </c>
      <c r="N5" t="s">
        <v>219</v>
      </c>
      <c r="O5" s="67">
        <v>78482</v>
      </c>
      <c r="P5" s="67" t="s">
        <v>324</v>
      </c>
      <c r="Q5" s="67">
        <v>1.2</v>
      </c>
      <c r="R5" s="67">
        <v>18.248609999999999</v>
      </c>
      <c r="S5" s="67">
        <v>-71.122879999999995</v>
      </c>
      <c r="T5" s="67">
        <v>6</v>
      </c>
    </row>
    <row r="6" spans="1:20" x14ac:dyDescent="0.25">
      <c r="B6" s="67"/>
      <c r="C6" s="69"/>
      <c r="D6" s="69"/>
      <c r="E6" s="74"/>
      <c r="G6" s="69"/>
      <c r="H6" s="69"/>
      <c r="I6" s="69"/>
      <c r="J6" s="74"/>
      <c r="L6" s="71" t="str">
        <f>MID('2100Z'!$B$10,1,1)</f>
        <v>7</v>
      </c>
      <c r="M6" s="67" t="str">
        <f>IF(MID('2100Z'!$G$10,2,2)="",IF(L6="","",IF(L5&gt;L6,"01",IF(L5&lt;L6,"03",IF(L5=L6,"02","")))),MID('2100Z'!$G$10,2,2))</f>
        <v>02</v>
      </c>
      <c r="N6" t="s">
        <v>220</v>
      </c>
      <c r="O6" s="67">
        <v>78467</v>
      </c>
      <c r="P6" s="67" t="s">
        <v>325</v>
      </c>
      <c r="Q6" s="67">
        <v>1.2</v>
      </c>
      <c r="R6" s="67">
        <v>19.052700000000002</v>
      </c>
      <c r="S6" s="67">
        <v>-69.388800000000003</v>
      </c>
      <c r="T6" s="67">
        <v>11</v>
      </c>
    </row>
    <row r="7" spans="1:20" x14ac:dyDescent="0.25">
      <c r="B7" s="70" t="s">
        <v>156</v>
      </c>
      <c r="C7" s="70" t="s">
        <v>157</v>
      </c>
      <c r="D7" s="70" t="s">
        <v>211</v>
      </c>
      <c r="E7" s="77" t="s">
        <v>215</v>
      </c>
      <c r="G7" s="70" t="s">
        <v>156</v>
      </c>
      <c r="H7" s="70" t="s">
        <v>157</v>
      </c>
      <c r="I7" s="70" t="s">
        <v>211</v>
      </c>
      <c r="J7" s="77" t="s">
        <v>215</v>
      </c>
      <c r="L7" s="71" t="str">
        <f>MID('0000Z'!$B$10,1,1)</f>
        <v>6</v>
      </c>
      <c r="M7" s="67" t="str">
        <f>IF(MID('0000Z'!$G$10,2,2)="",IF(L7="","",IF(L6&gt;L7,"01",IF(L6&lt;L7,"03",IF(L6=L7,"02","")))),MID('0000Z'!$G$10,2,2))</f>
        <v>01</v>
      </c>
      <c r="N7" t="s">
        <v>221</v>
      </c>
      <c r="O7" s="67">
        <v>78464</v>
      </c>
      <c r="P7" s="67" t="s">
        <v>326</v>
      </c>
      <c r="Q7" s="67">
        <v>1.5</v>
      </c>
      <c r="R7" s="67">
        <v>19.644400000000001</v>
      </c>
      <c r="S7" s="67">
        <v>-69.906300000000002</v>
      </c>
      <c r="T7" s="67">
        <v>18</v>
      </c>
    </row>
    <row r="8" spans="1:20" x14ac:dyDescent="0.25">
      <c r="B8" s="67"/>
      <c r="C8" s="73"/>
      <c r="D8" s="72"/>
      <c r="E8" s="67" t="str">
        <f>IF(MID(E4,4,2)="66",160,IF(MID(E4,4,2)="65",150,IF(MID(E4,4,2)="64",140,IF(MID(E4,4,2)="63",130,IF(MID(E4,4,2)="62",120,IF(MID(E4,4,2)="61",110,IF(MID(E4,4,2)="60",100,IF(MID(E4,4,2)="59","090",IF(MID(E4,4,2)="58","080",IF(MID(E4,4,2)="67","070",IF(MID(E4,4,2)="56","060"," ")))))))))))</f>
        <v xml:space="preserve"> </v>
      </c>
      <c r="G8" s="67"/>
      <c r="H8" s="73"/>
      <c r="I8" s="72"/>
      <c r="J8" s="67" t="str">
        <f>IF(MID(J4,4,2)="66",160,IF(MID(J4,4,2)="65",150,IF(MID(J4,4,2)="64",140,IF(MID(J4,4,2)="63",130,IF(MID(J4,4,2)="62",120,IF(MID(J4,4,2)="61",110,IF(MID(J4,4,2)="60",100,IF(MID(J4,4,2)="59","090",IF(MID(J4,4,2)="58","080",IF(MID(J4,4,2)="67","070",IF(MID(J4,4,2)="56","060"," ")))))))))))</f>
        <v xml:space="preserve"> </v>
      </c>
      <c r="L8" s="71" t="str">
        <f>MID('0003Z'!$B$10,1,1)</f>
        <v>5</v>
      </c>
      <c r="M8" s="67" t="str">
        <f>IF(MID('0003Z'!$G$10,2,2)="",IF(L8="","",IF(L7&gt;L8,"01",IF(L7&lt;L8,"03",IF(L7=L8,"02","")))),MID('0003Z'!$G$10,2,2))</f>
        <v>01</v>
      </c>
      <c r="N8" t="s">
        <v>222</v>
      </c>
      <c r="O8" s="67">
        <v>78486</v>
      </c>
      <c r="P8" s="67" t="s">
        <v>320</v>
      </c>
      <c r="Q8" s="67">
        <v>1.6</v>
      </c>
      <c r="R8" s="67">
        <v>18.473400000000002</v>
      </c>
      <c r="S8" s="67">
        <v>-69.870500000000007</v>
      </c>
      <c r="T8" s="67">
        <v>14</v>
      </c>
    </row>
    <row r="9" spans="1:20" x14ac:dyDescent="0.25">
      <c r="A9" t="s">
        <v>34</v>
      </c>
      <c r="B9" s="68" t="s">
        <v>210</v>
      </c>
      <c r="C9" s="68" t="s">
        <v>209</v>
      </c>
      <c r="D9" s="68" t="s">
        <v>208</v>
      </c>
      <c r="E9" s="82" t="s">
        <v>225</v>
      </c>
      <c r="G9" s="68" t="s">
        <v>210</v>
      </c>
      <c r="H9" s="68" t="s">
        <v>209</v>
      </c>
      <c r="I9" s="68" t="s">
        <v>208</v>
      </c>
      <c r="J9" s="82" t="s">
        <v>225</v>
      </c>
      <c r="L9" s="71" t="str">
        <f>MID('0006Z'!$B$10,1,1)</f>
        <v>2</v>
      </c>
      <c r="M9" s="67" t="str">
        <f>IF(MID('0006Z'!$G$10,2,2)="",IF(L9="","",IF(L8&gt;L9,"01",IF(L8&lt;L9,"03",IF(L8=L9,"02","")))),MID('0006Z'!$G$10,2,2))</f>
        <v>01</v>
      </c>
      <c r="N9" t="s">
        <v>223</v>
      </c>
      <c r="O9" s="67">
        <v>78485</v>
      </c>
      <c r="P9" s="67" t="s">
        <v>327</v>
      </c>
      <c r="Q9" s="67">
        <v>2</v>
      </c>
      <c r="R9" s="67">
        <v>18.4331</v>
      </c>
      <c r="S9" s="67">
        <v>-69.679599999999994</v>
      </c>
      <c r="T9" s="67">
        <v>7</v>
      </c>
    </row>
    <row r="10" spans="1:20" x14ac:dyDescent="0.25">
      <c r="B10" s="67"/>
      <c r="C10" s="67"/>
      <c r="D10" s="67"/>
      <c r="E10" s="67"/>
      <c r="G10" s="67"/>
      <c r="H10" s="67"/>
      <c r="I10" s="67"/>
      <c r="J10" s="67"/>
      <c r="L10" s="71" t="str">
        <f>MID('0009Z'!$B$10,1,1)</f>
        <v>6</v>
      </c>
      <c r="M10" s="67" t="str">
        <f>IF(MID('0009Z'!$G$10,2,2)="",IF(L10="","",IF(L9&gt;L10,"01",IF(L9&lt;L10,"03",IF(L9=L10,"02","")))),MID('0009Z'!$G$10,2,2))</f>
        <v>21</v>
      </c>
      <c r="N10" t="s">
        <v>224</v>
      </c>
      <c r="O10" s="67">
        <v>78479</v>
      </c>
      <c r="P10" s="67" t="s">
        <v>328</v>
      </c>
      <c r="Q10" s="67">
        <v>2</v>
      </c>
      <c r="R10" s="67">
        <v>18.564</v>
      </c>
      <c r="S10" s="67">
        <v>-68.359399999999994</v>
      </c>
      <c r="T10" s="67">
        <v>7</v>
      </c>
    </row>
    <row r="11" spans="1:20" x14ac:dyDescent="0.25">
      <c r="B11" s="70" t="s">
        <v>207</v>
      </c>
      <c r="C11" s="70" t="s">
        <v>206</v>
      </c>
      <c r="D11" s="70" t="s">
        <v>205</v>
      </c>
      <c r="G11" s="70" t="s">
        <v>207</v>
      </c>
      <c r="H11" s="70" t="s">
        <v>206</v>
      </c>
      <c r="I11" s="70" t="s">
        <v>205</v>
      </c>
      <c r="L11"/>
      <c r="M11"/>
      <c r="N11"/>
      <c r="O11" s="67">
        <v>78484</v>
      </c>
      <c r="P11" s="67" t="s">
        <v>341</v>
      </c>
      <c r="Q11" s="67">
        <v>3.5</v>
      </c>
      <c r="R11" s="67">
        <v>18.57696</v>
      </c>
      <c r="S11" s="67">
        <v>-69.981579999999994</v>
      </c>
      <c r="T11" s="67">
        <v>22</v>
      </c>
    </row>
    <row r="12" spans="1:20" x14ac:dyDescent="0.25">
      <c r="B12" s="67"/>
      <c r="C12" s="67"/>
      <c r="D12" s="67"/>
      <c r="G12" s="67"/>
      <c r="H12" s="67"/>
      <c r="I12" s="67"/>
      <c r="L12"/>
      <c r="M12"/>
      <c r="N12"/>
      <c r="O12" s="67">
        <v>78466</v>
      </c>
      <c r="P12" s="67" t="s">
        <v>329</v>
      </c>
      <c r="Q12" s="67">
        <v>3.5</v>
      </c>
      <c r="R12" s="67">
        <v>19.200500000000002</v>
      </c>
      <c r="S12" s="67">
        <v>-69.431439999999995</v>
      </c>
      <c r="T12" s="67">
        <v>37</v>
      </c>
    </row>
    <row r="13" spans="1:20" x14ac:dyDescent="0.25">
      <c r="B13" s="68" t="s">
        <v>204</v>
      </c>
      <c r="C13" s="68" t="s">
        <v>203</v>
      </c>
      <c r="D13" s="68" t="s">
        <v>202</v>
      </c>
      <c r="G13" s="68" t="s">
        <v>204</v>
      </c>
      <c r="H13" s="68" t="s">
        <v>203</v>
      </c>
      <c r="I13" s="68" t="s">
        <v>202</v>
      </c>
      <c r="L13" s="338" t="s">
        <v>216</v>
      </c>
      <c r="M13" s="338"/>
      <c r="N13"/>
      <c r="O13" s="67">
        <v>78480</v>
      </c>
      <c r="P13" s="67" t="s">
        <v>330</v>
      </c>
      <c r="Q13" s="67">
        <v>4.8</v>
      </c>
      <c r="R13" s="67">
        <v>18.492799999999999</v>
      </c>
      <c r="S13" s="67">
        <v>-71.852999999999994</v>
      </c>
      <c r="T13" s="67">
        <v>45</v>
      </c>
    </row>
    <row r="14" spans="1:20" x14ac:dyDescent="0.25">
      <c r="B14" s="67"/>
      <c r="C14" s="67"/>
      <c r="D14" s="79"/>
      <c r="G14" s="67"/>
      <c r="H14" s="67"/>
      <c r="I14" s="78"/>
      <c r="L14" s="80" t="str">
        <f>'0006Z'!F37</f>
        <v>0.0</v>
      </c>
      <c r="M14" s="81">
        <f>IF(L14="INAP","INAP",L14*10)</f>
        <v>0</v>
      </c>
      <c r="N14" t="s">
        <v>194</v>
      </c>
      <c r="O14" s="67">
        <v>78473</v>
      </c>
      <c r="P14" s="67" t="s">
        <v>331</v>
      </c>
      <c r="Q14" s="67">
        <v>6</v>
      </c>
      <c r="R14" s="67">
        <v>18.7422</v>
      </c>
      <c r="S14" s="67">
        <v>-69.630799999999994</v>
      </c>
      <c r="T14" s="67">
        <v>53</v>
      </c>
    </row>
    <row r="15" spans="1:20" x14ac:dyDescent="0.25">
      <c r="B15" s="70" t="s">
        <v>201</v>
      </c>
      <c r="C15" s="70" t="s">
        <v>200</v>
      </c>
      <c r="D15" s="70" t="s">
        <v>199</v>
      </c>
      <c r="G15" s="70" t="s">
        <v>201</v>
      </c>
      <c r="H15" s="70" t="s">
        <v>200</v>
      </c>
      <c r="I15" s="70" t="s">
        <v>199</v>
      </c>
      <c r="L15" s="80" t="str">
        <f>'0009Z'!F37</f>
        <v>0.5</v>
      </c>
      <c r="M15" s="81">
        <f t="shared" ref="M15:M21" si="0">IF(L15="INAP","INAP",L15*10)</f>
        <v>5</v>
      </c>
      <c r="N15" t="s">
        <v>193</v>
      </c>
      <c r="O15" s="67">
        <v>78488</v>
      </c>
      <c r="P15" s="67" t="s">
        <v>332</v>
      </c>
      <c r="Q15" s="67">
        <v>8.5</v>
      </c>
      <c r="R15" s="67">
        <v>18.448499999999999</v>
      </c>
      <c r="S15" s="67">
        <v>-68.909300000000002</v>
      </c>
      <c r="T15" s="67">
        <v>62</v>
      </c>
    </row>
    <row r="16" spans="1:20" x14ac:dyDescent="0.25">
      <c r="B16" s="67"/>
      <c r="C16" s="69"/>
      <c r="D16" s="67"/>
      <c r="G16" s="67"/>
      <c r="H16" s="69"/>
      <c r="I16" s="67"/>
      <c r="L16" s="80" t="str">
        <f>'1200Z'!F37</f>
        <v>0.0</v>
      </c>
      <c r="M16" s="81">
        <f t="shared" si="0"/>
        <v>0</v>
      </c>
      <c r="N16" t="s">
        <v>217</v>
      </c>
      <c r="O16" s="67">
        <v>78460</v>
      </c>
      <c r="P16" s="67" t="s">
        <v>333</v>
      </c>
      <c r="Q16" s="67">
        <v>19.8</v>
      </c>
      <c r="R16" s="67">
        <v>19.403099999999998</v>
      </c>
      <c r="S16" s="67">
        <v>-70.597800000000007</v>
      </c>
      <c r="T16" s="67">
        <v>170</v>
      </c>
    </row>
    <row r="17" spans="2:22" x14ac:dyDescent="0.25">
      <c r="B17" s="68" t="s">
        <v>198</v>
      </c>
      <c r="C17" s="68" t="s">
        <v>197</v>
      </c>
      <c r="G17" s="68" t="s">
        <v>198</v>
      </c>
      <c r="H17" s="68" t="s">
        <v>197</v>
      </c>
      <c r="L17" s="80" t="str">
        <f>'1500Z'!F37</f>
        <v>0.0</v>
      </c>
      <c r="M17" s="81">
        <f t="shared" si="0"/>
        <v>0</v>
      </c>
      <c r="N17" t="s">
        <v>218</v>
      </c>
      <c r="O17"/>
      <c r="P17"/>
      <c r="Q17"/>
    </row>
    <row r="18" spans="2:22" x14ac:dyDescent="0.25">
      <c r="B18" s="67"/>
      <c r="C18" s="67"/>
      <c r="G18" s="67"/>
      <c r="H18" s="67"/>
      <c r="L18" s="80" t="str">
        <f>'1800Z'!F37</f>
        <v>0.0</v>
      </c>
      <c r="M18" s="81">
        <f t="shared" si="0"/>
        <v>0</v>
      </c>
      <c r="N18" t="s">
        <v>219</v>
      </c>
      <c r="O18"/>
      <c r="P18"/>
      <c r="Q18"/>
    </row>
    <row r="19" spans="2:22" x14ac:dyDescent="0.25">
      <c r="L19" s="80" t="str">
        <f>'2100Z'!F37</f>
        <v>0.0</v>
      </c>
      <c r="M19" s="81">
        <f t="shared" si="0"/>
        <v>0</v>
      </c>
      <c r="N19" t="s">
        <v>220</v>
      </c>
      <c r="O19"/>
      <c r="P19"/>
      <c r="Q19"/>
    </row>
    <row r="20" spans="2:22" x14ac:dyDescent="0.25">
      <c r="B20" s="334" t="s">
        <v>27</v>
      </c>
      <c r="C20" s="335"/>
      <c r="D20" s="335"/>
      <c r="E20" s="336"/>
      <c r="G20" s="334" t="s">
        <v>28</v>
      </c>
      <c r="H20" s="335"/>
      <c r="I20" s="335"/>
      <c r="J20" s="336"/>
      <c r="L20" s="80" t="str">
        <f>'0000Z'!F37</f>
        <v>0.0</v>
      </c>
      <c r="M20" s="81">
        <f t="shared" si="0"/>
        <v>0</v>
      </c>
      <c r="N20" t="s">
        <v>221</v>
      </c>
      <c r="O20"/>
      <c r="P20"/>
      <c r="Q20"/>
    </row>
    <row r="21" spans="2:22" x14ac:dyDescent="0.25">
      <c r="B21" s="70" t="s">
        <v>4</v>
      </c>
      <c r="C21" s="70" t="s">
        <v>213</v>
      </c>
      <c r="D21" s="70" t="s">
        <v>212</v>
      </c>
      <c r="E21" s="76" t="s">
        <v>3</v>
      </c>
      <c r="G21" s="70" t="s">
        <v>4</v>
      </c>
      <c r="H21" s="70" t="s">
        <v>213</v>
      </c>
      <c r="I21" s="70" t="s">
        <v>212</v>
      </c>
      <c r="J21" s="76" t="s">
        <v>3</v>
      </c>
      <c r="L21" s="80">
        <f>'0003Z'!F37</f>
        <v>0</v>
      </c>
      <c r="M21" s="81">
        <f t="shared" si="0"/>
        <v>0</v>
      </c>
      <c r="N21" t="s">
        <v>222</v>
      </c>
      <c r="O21"/>
      <c r="P21"/>
      <c r="Q21"/>
    </row>
    <row r="22" spans="2:22" x14ac:dyDescent="0.25">
      <c r="B22" s="67"/>
      <c r="C22" s="67"/>
      <c r="D22" s="67"/>
      <c r="E22" s="74"/>
      <c r="G22" s="67"/>
      <c r="H22" s="67"/>
      <c r="I22" s="67"/>
      <c r="J22" s="74"/>
      <c r="L22"/>
      <c r="M22"/>
      <c r="N22"/>
      <c r="O22"/>
      <c r="P22"/>
      <c r="Q22"/>
    </row>
    <row r="23" spans="2:22" x14ac:dyDescent="0.25">
      <c r="B23" s="68" t="s">
        <v>154</v>
      </c>
      <c r="C23" s="68" t="s">
        <v>158</v>
      </c>
      <c r="D23" s="68" t="s">
        <v>155</v>
      </c>
      <c r="E23" s="75" t="s">
        <v>52</v>
      </c>
      <c r="G23" s="68" t="s">
        <v>154</v>
      </c>
      <c r="H23" s="68" t="s">
        <v>158</v>
      </c>
      <c r="I23" s="68" t="s">
        <v>155</v>
      </c>
      <c r="J23" s="75" t="s">
        <v>52</v>
      </c>
      <c r="L23"/>
      <c r="M23"/>
      <c r="N23"/>
      <c r="O23"/>
      <c r="P23"/>
      <c r="Q23"/>
    </row>
    <row r="24" spans="2:22" x14ac:dyDescent="0.25">
      <c r="B24" s="67"/>
      <c r="C24" s="69"/>
      <c r="D24" s="69"/>
      <c r="E24" s="74"/>
      <c r="G24" s="67"/>
      <c r="H24" s="69"/>
      <c r="I24" s="69"/>
      <c r="J24" s="74"/>
      <c r="L24"/>
      <c r="M24"/>
      <c r="N24"/>
      <c r="O24"/>
      <c r="P24"/>
      <c r="Q24"/>
    </row>
    <row r="25" spans="2:22" x14ac:dyDescent="0.25">
      <c r="B25" s="70" t="s">
        <v>156</v>
      </c>
      <c r="C25" s="70" t="s">
        <v>157</v>
      </c>
      <c r="D25" s="70" t="s">
        <v>211</v>
      </c>
      <c r="E25" s="77" t="s">
        <v>215</v>
      </c>
      <c r="G25" s="70" t="s">
        <v>156</v>
      </c>
      <c r="H25" s="70" t="s">
        <v>157</v>
      </c>
      <c r="I25" s="70" t="s">
        <v>211</v>
      </c>
      <c r="J25" s="77" t="s">
        <v>215</v>
      </c>
      <c r="L25"/>
      <c r="M25"/>
      <c r="N25"/>
      <c r="O25"/>
      <c r="P25"/>
      <c r="Q25"/>
    </row>
    <row r="26" spans="2:22" x14ac:dyDescent="0.25">
      <c r="B26" s="67"/>
      <c r="C26" s="73"/>
      <c r="D26" s="72"/>
      <c r="E26" s="67" t="str">
        <f>IF(MID(E22,4,2)="66",160,IF(MID(E22,4,2)="65",150,IF(MID(E22,4,2)="64",140,IF(MID(E22,4,2)="63",130,IF(MID(E22,4,2)="62",120,IF(MID(E22,4,2)="61",110,IF(MID(E22,4,2)="60",100,IF(MID(E22,4,2)="59","090",IF(MID(E22,4,2)="58","080",IF(MID(E22,4,2)="67","070",IF(MID(E22,4,2)="56","060"," ")))))))))))</f>
        <v xml:space="preserve"> </v>
      </c>
      <c r="G26" s="67"/>
      <c r="H26" s="73"/>
      <c r="I26" s="72"/>
      <c r="J26" s="67" t="str">
        <f>IF(MID(J22,4,2)="66",160,IF(MID(J22,4,2)="65",150,IF(MID(J22,4,2)="64",140,IF(MID(J22,4,2)="63",130,IF(MID(J22,4,2)="62",120,IF(MID(J22,4,2)="61",110,IF(MID(J22,4,2)="60",100,IF(MID(J22,4,2)="59","090",IF(MID(J22,4,2)="58","080",IF(MID(J22,4,2)="67","070",IF(MID(J22,4,2)="56","060"," ")))))))))))</f>
        <v xml:space="preserve"> </v>
      </c>
      <c r="L26"/>
      <c r="M26"/>
      <c r="N26"/>
      <c r="O26"/>
      <c r="P26"/>
      <c r="Q26"/>
    </row>
    <row r="27" spans="2:22" x14ac:dyDescent="0.25">
      <c r="B27" s="68" t="s">
        <v>210</v>
      </c>
      <c r="C27" s="68" t="s">
        <v>209</v>
      </c>
      <c r="D27" s="68" t="s">
        <v>208</v>
      </c>
      <c r="E27" s="82" t="s">
        <v>225</v>
      </c>
      <c r="G27" s="68" t="s">
        <v>210</v>
      </c>
      <c r="H27" s="68" t="s">
        <v>209</v>
      </c>
      <c r="I27" s="68" t="s">
        <v>208</v>
      </c>
      <c r="J27" s="82" t="s">
        <v>225</v>
      </c>
      <c r="L27"/>
      <c r="M27"/>
      <c r="N27"/>
      <c r="O27"/>
      <c r="P27"/>
      <c r="Q27"/>
    </row>
    <row r="28" spans="2:22" x14ac:dyDescent="0.25">
      <c r="B28" s="67"/>
      <c r="C28" s="67"/>
      <c r="D28" s="67"/>
      <c r="E28" s="67"/>
      <c r="G28" s="67"/>
      <c r="H28" s="67"/>
      <c r="I28" s="67"/>
      <c r="J28" s="67"/>
      <c r="L28"/>
      <c r="M28"/>
      <c r="N28"/>
      <c r="O28"/>
      <c r="P28"/>
      <c r="Q28"/>
    </row>
    <row r="29" spans="2:22" x14ac:dyDescent="0.25">
      <c r="B29" s="70" t="s">
        <v>207</v>
      </c>
      <c r="C29" s="70" t="s">
        <v>206</v>
      </c>
      <c r="D29" s="70" t="s">
        <v>205</v>
      </c>
      <c r="G29" s="70" t="s">
        <v>207</v>
      </c>
      <c r="H29" s="70" t="s">
        <v>206</v>
      </c>
      <c r="I29" s="70" t="s">
        <v>205</v>
      </c>
      <c r="L29" s="337" t="s">
        <v>344</v>
      </c>
      <c r="M29" s="337"/>
      <c r="N29" s="337" t="s">
        <v>345</v>
      </c>
      <c r="O29" s="337"/>
      <c r="P29" s="337" t="s">
        <v>346</v>
      </c>
      <c r="Q29" s="337"/>
      <c r="S29" s="337" t="s">
        <v>347</v>
      </c>
      <c r="T29" s="337"/>
      <c r="U29" s="337"/>
      <c r="V29" s="337"/>
    </row>
    <row r="30" spans="2:22" x14ac:dyDescent="0.25">
      <c r="B30" s="67"/>
      <c r="C30" s="67"/>
      <c r="D30" s="67"/>
      <c r="G30" s="67"/>
      <c r="H30" s="67"/>
      <c r="I30" s="67"/>
      <c r="L30" s="306">
        <v>91</v>
      </c>
      <c r="M30" s="307">
        <v>3</v>
      </c>
      <c r="N30" s="305">
        <v>1829</v>
      </c>
      <c r="O30" s="304">
        <v>56</v>
      </c>
      <c r="P30" s="308">
        <v>5790</v>
      </c>
      <c r="Q30" s="307">
        <v>69</v>
      </c>
      <c r="S30" s="309">
        <v>0</v>
      </c>
      <c r="T30" s="310">
        <v>0</v>
      </c>
      <c r="U30" s="67">
        <f>S70+1</f>
        <v>41</v>
      </c>
      <c r="V30" s="310">
        <f>T70+1</f>
        <v>41</v>
      </c>
    </row>
    <row r="31" spans="2:22" x14ac:dyDescent="0.25">
      <c r="B31" s="68" t="s">
        <v>204</v>
      </c>
      <c r="C31" s="68" t="s">
        <v>203</v>
      </c>
      <c r="D31" s="68" t="s">
        <v>202</v>
      </c>
      <c r="G31" s="68" t="s">
        <v>204</v>
      </c>
      <c r="H31" s="68" t="s">
        <v>203</v>
      </c>
      <c r="I31" s="68" t="s">
        <v>202</v>
      </c>
      <c r="L31" s="306">
        <v>122</v>
      </c>
      <c r="M31" s="307">
        <v>4</v>
      </c>
      <c r="N31" s="305">
        <v>2134</v>
      </c>
      <c r="O31" s="304">
        <v>57</v>
      </c>
      <c r="P31" s="308">
        <v>6096</v>
      </c>
      <c r="Q31" s="307">
        <v>70</v>
      </c>
      <c r="S31" s="309">
        <f>S30+1</f>
        <v>1</v>
      </c>
      <c r="T31" s="310">
        <v>1</v>
      </c>
      <c r="U31" s="67">
        <f>U30+1</f>
        <v>42</v>
      </c>
      <c r="V31" s="310">
        <f>V30+1</f>
        <v>42</v>
      </c>
    </row>
    <row r="32" spans="2:22" x14ac:dyDescent="0.25">
      <c r="B32" s="67"/>
      <c r="C32" s="67"/>
      <c r="D32" s="79"/>
      <c r="G32" s="67"/>
      <c r="H32" s="67"/>
      <c r="I32" s="79"/>
      <c r="L32" s="306">
        <v>152</v>
      </c>
      <c r="M32" s="307">
        <v>5</v>
      </c>
      <c r="N32" s="305">
        <v>2438</v>
      </c>
      <c r="O32" s="304">
        <v>58</v>
      </c>
      <c r="P32" s="308">
        <v>6400</v>
      </c>
      <c r="Q32" s="307">
        <v>71</v>
      </c>
      <c r="S32" s="309">
        <f t="shared" ref="S32:S70" si="1">S31+1</f>
        <v>2</v>
      </c>
      <c r="T32" s="310">
        <f>T31+1</f>
        <v>2</v>
      </c>
      <c r="U32" s="67">
        <f>U31+1</f>
        <v>43</v>
      </c>
      <c r="V32" s="310">
        <f t="shared" ref="V32:V38" si="2">V31+1</f>
        <v>43</v>
      </c>
    </row>
    <row r="33" spans="2:22" x14ac:dyDescent="0.25">
      <c r="B33" s="70" t="s">
        <v>201</v>
      </c>
      <c r="C33" s="70" t="s">
        <v>200</v>
      </c>
      <c r="D33" s="70" t="s">
        <v>199</v>
      </c>
      <c r="G33" s="70" t="s">
        <v>201</v>
      </c>
      <c r="H33" s="70" t="s">
        <v>200</v>
      </c>
      <c r="I33" s="70" t="s">
        <v>199</v>
      </c>
      <c r="L33" s="306">
        <v>182</v>
      </c>
      <c r="M33" s="307">
        <v>6</v>
      </c>
      <c r="N33" s="305">
        <v>2740</v>
      </c>
      <c r="O33" s="304">
        <v>59</v>
      </c>
      <c r="P33" s="308">
        <v>6706</v>
      </c>
      <c r="Q33" s="307">
        <v>72</v>
      </c>
      <c r="S33" s="309">
        <f t="shared" si="1"/>
        <v>3</v>
      </c>
      <c r="T33" s="310">
        <f t="shared" ref="T33:T70" si="3">T32+1</f>
        <v>3</v>
      </c>
      <c r="U33" s="67">
        <f t="shared" ref="U33:U38" si="4">U32+1</f>
        <v>44</v>
      </c>
      <c r="V33" s="310">
        <f t="shared" si="2"/>
        <v>44</v>
      </c>
    </row>
    <row r="34" spans="2:22" x14ac:dyDescent="0.25">
      <c r="B34" s="67"/>
      <c r="C34" s="69"/>
      <c r="D34" s="67"/>
      <c r="G34" s="67"/>
      <c r="H34" s="69"/>
      <c r="I34" s="67"/>
      <c r="L34" s="306">
        <v>213</v>
      </c>
      <c r="M34" s="307">
        <v>7</v>
      </c>
      <c r="N34" s="305">
        <v>3045</v>
      </c>
      <c r="O34" s="304">
        <v>60</v>
      </c>
      <c r="P34" s="308">
        <v>7010</v>
      </c>
      <c r="Q34" s="307">
        <v>73</v>
      </c>
      <c r="S34" s="309">
        <f t="shared" si="1"/>
        <v>4</v>
      </c>
      <c r="T34" s="310">
        <f t="shared" si="3"/>
        <v>4</v>
      </c>
      <c r="U34" s="67">
        <f t="shared" si="4"/>
        <v>45</v>
      </c>
      <c r="V34" s="310">
        <f t="shared" si="2"/>
        <v>45</v>
      </c>
    </row>
    <row r="35" spans="2:22" x14ac:dyDescent="0.25">
      <c r="B35" s="68" t="s">
        <v>198</v>
      </c>
      <c r="C35" s="68" t="s">
        <v>197</v>
      </c>
      <c r="G35" s="68" t="s">
        <v>198</v>
      </c>
      <c r="H35" s="68" t="s">
        <v>197</v>
      </c>
      <c r="L35" s="306">
        <v>244</v>
      </c>
      <c r="M35" s="307">
        <v>8</v>
      </c>
      <c r="N35" s="305">
        <v>3350</v>
      </c>
      <c r="O35" s="304">
        <v>61</v>
      </c>
      <c r="P35" s="308">
        <v>7315</v>
      </c>
      <c r="Q35" s="307">
        <v>74</v>
      </c>
      <c r="S35" s="309">
        <f t="shared" si="1"/>
        <v>5</v>
      </c>
      <c r="T35" s="310">
        <f t="shared" si="3"/>
        <v>5</v>
      </c>
      <c r="U35" s="67">
        <f t="shared" si="4"/>
        <v>46</v>
      </c>
      <c r="V35" s="310">
        <f t="shared" si="2"/>
        <v>46</v>
      </c>
    </row>
    <row r="36" spans="2:22" x14ac:dyDescent="0.25">
      <c r="B36" s="67"/>
      <c r="C36" s="67"/>
      <c r="G36" s="67"/>
      <c r="H36" s="67"/>
      <c r="L36" s="306">
        <v>274</v>
      </c>
      <c r="M36" s="307">
        <v>9</v>
      </c>
      <c r="N36" s="305">
        <v>3655</v>
      </c>
      <c r="O36" s="304">
        <v>62</v>
      </c>
      <c r="P36" s="308">
        <v>7620</v>
      </c>
      <c r="Q36" s="307">
        <v>75</v>
      </c>
      <c r="S36" s="309">
        <f t="shared" si="1"/>
        <v>6</v>
      </c>
      <c r="T36" s="310">
        <f t="shared" si="3"/>
        <v>6</v>
      </c>
      <c r="U36" s="67">
        <f t="shared" si="4"/>
        <v>47</v>
      </c>
      <c r="V36" s="310">
        <f t="shared" si="2"/>
        <v>47</v>
      </c>
    </row>
    <row r="37" spans="2:22" x14ac:dyDescent="0.25">
      <c r="L37" s="306">
        <v>305</v>
      </c>
      <c r="M37" s="307">
        <v>10</v>
      </c>
      <c r="N37" s="305">
        <v>3960</v>
      </c>
      <c r="O37" s="304">
        <v>63</v>
      </c>
      <c r="P37" s="308">
        <v>7925</v>
      </c>
      <c r="Q37" s="307">
        <v>76</v>
      </c>
      <c r="S37" s="309">
        <f t="shared" si="1"/>
        <v>7</v>
      </c>
      <c r="T37" s="310">
        <f t="shared" si="3"/>
        <v>7</v>
      </c>
      <c r="U37" s="67">
        <f t="shared" si="4"/>
        <v>48</v>
      </c>
      <c r="V37" s="310">
        <f t="shared" si="2"/>
        <v>48</v>
      </c>
    </row>
    <row r="38" spans="2:22" x14ac:dyDescent="0.25">
      <c r="B38" s="334" t="s">
        <v>29</v>
      </c>
      <c r="C38" s="335"/>
      <c r="D38" s="335"/>
      <c r="E38" s="336"/>
      <c r="G38" s="334" t="s">
        <v>30</v>
      </c>
      <c r="H38" s="335"/>
      <c r="I38" s="335"/>
      <c r="J38" s="336"/>
      <c r="L38" s="306">
        <v>335</v>
      </c>
      <c r="M38" s="307">
        <v>11</v>
      </c>
      <c r="N38" s="305">
        <v>4265</v>
      </c>
      <c r="O38" s="304">
        <v>64</v>
      </c>
      <c r="P38" s="308">
        <v>8230</v>
      </c>
      <c r="Q38" s="307">
        <v>77</v>
      </c>
      <c r="S38" s="309">
        <f t="shared" si="1"/>
        <v>8</v>
      </c>
      <c r="T38" s="310">
        <f t="shared" si="3"/>
        <v>8</v>
      </c>
      <c r="U38" s="67">
        <f t="shared" si="4"/>
        <v>49</v>
      </c>
      <c r="V38" s="310">
        <f t="shared" si="2"/>
        <v>49</v>
      </c>
    </row>
    <row r="39" spans="2:22" x14ac:dyDescent="0.25">
      <c r="B39" s="70" t="s">
        <v>4</v>
      </c>
      <c r="C39" s="70" t="s">
        <v>213</v>
      </c>
      <c r="D39" s="70" t="s">
        <v>212</v>
      </c>
      <c r="E39" s="76" t="s">
        <v>3</v>
      </c>
      <c r="G39" s="70" t="s">
        <v>4</v>
      </c>
      <c r="H39" s="70" t="s">
        <v>213</v>
      </c>
      <c r="I39" s="70" t="s">
        <v>212</v>
      </c>
      <c r="J39" s="76" t="s">
        <v>3</v>
      </c>
      <c r="L39" s="306">
        <v>366</v>
      </c>
      <c r="M39" s="307">
        <v>12</v>
      </c>
      <c r="N39" s="305">
        <v>4570</v>
      </c>
      <c r="O39" s="304">
        <v>65</v>
      </c>
      <c r="P39" s="308">
        <v>8535</v>
      </c>
      <c r="Q39" s="307">
        <v>78</v>
      </c>
      <c r="S39" s="309">
        <f t="shared" si="1"/>
        <v>9</v>
      </c>
      <c r="T39" s="310">
        <f t="shared" si="3"/>
        <v>9</v>
      </c>
      <c r="U39" s="311">
        <v>50</v>
      </c>
      <c r="V39" s="310">
        <f>V38+1</f>
        <v>50</v>
      </c>
    </row>
    <row r="40" spans="2:22" x14ac:dyDescent="0.25">
      <c r="B40" s="67"/>
      <c r="C40" s="67"/>
      <c r="D40" s="67"/>
      <c r="E40" s="74"/>
      <c r="G40" s="67"/>
      <c r="H40" s="67"/>
      <c r="I40" s="67"/>
      <c r="J40" s="74"/>
      <c r="L40" s="306">
        <v>396</v>
      </c>
      <c r="M40" s="307">
        <v>13</v>
      </c>
      <c r="N40" s="305">
        <v>4875</v>
      </c>
      <c r="O40" s="304">
        <v>66</v>
      </c>
      <c r="P40" s="308">
        <v>8840</v>
      </c>
      <c r="Q40" s="307">
        <v>79</v>
      </c>
      <c r="S40" s="309">
        <f t="shared" si="1"/>
        <v>10</v>
      </c>
      <c r="T40" s="310">
        <f t="shared" si="3"/>
        <v>10</v>
      </c>
      <c r="U40" s="67">
        <v>56</v>
      </c>
      <c r="V40" s="310">
        <f>V39+10</f>
        <v>60</v>
      </c>
    </row>
    <row r="41" spans="2:22" x14ac:dyDescent="0.25">
      <c r="B41" s="68" t="s">
        <v>154</v>
      </c>
      <c r="C41" s="68" t="s">
        <v>158</v>
      </c>
      <c r="D41" s="68" t="s">
        <v>155</v>
      </c>
      <c r="E41" s="75" t="s">
        <v>52</v>
      </c>
      <c r="G41" s="68" t="s">
        <v>154</v>
      </c>
      <c r="H41" s="68" t="s">
        <v>158</v>
      </c>
      <c r="I41" s="68" t="s">
        <v>155</v>
      </c>
      <c r="J41" s="75" t="s">
        <v>52</v>
      </c>
      <c r="L41" s="306">
        <v>427</v>
      </c>
      <c r="M41" s="307">
        <v>14</v>
      </c>
      <c r="N41" s="305">
        <v>5180</v>
      </c>
      <c r="O41" s="304">
        <v>67</v>
      </c>
      <c r="P41" s="308">
        <v>9145</v>
      </c>
      <c r="Q41" s="307">
        <v>80</v>
      </c>
      <c r="S41" s="309">
        <f t="shared" si="1"/>
        <v>11</v>
      </c>
      <c r="T41" s="310">
        <f t="shared" si="3"/>
        <v>11</v>
      </c>
      <c r="U41" s="67">
        <f t="shared" ref="U41:U64" si="5">U40+1</f>
        <v>57</v>
      </c>
      <c r="V41" s="310">
        <f t="shared" ref="V41:V64" si="6">V40+10</f>
        <v>70</v>
      </c>
    </row>
    <row r="42" spans="2:22" x14ac:dyDescent="0.25">
      <c r="B42" s="67"/>
      <c r="C42" s="69"/>
      <c r="D42" s="69"/>
      <c r="E42" s="74"/>
      <c r="G42" s="67"/>
      <c r="H42" s="69"/>
      <c r="I42" s="69"/>
      <c r="J42" s="74"/>
      <c r="L42" s="306">
        <v>457</v>
      </c>
      <c r="M42" s="307">
        <v>15</v>
      </c>
      <c r="N42" s="305">
        <v>5485</v>
      </c>
      <c r="O42" s="304">
        <v>68</v>
      </c>
      <c r="P42" s="308">
        <v>10500</v>
      </c>
      <c r="Q42" s="307">
        <v>81</v>
      </c>
      <c r="S42" s="309">
        <f t="shared" si="1"/>
        <v>12</v>
      </c>
      <c r="T42" s="310">
        <f t="shared" si="3"/>
        <v>12</v>
      </c>
      <c r="U42" s="67">
        <f t="shared" si="5"/>
        <v>58</v>
      </c>
      <c r="V42" s="310">
        <f t="shared" si="6"/>
        <v>80</v>
      </c>
    </row>
    <row r="43" spans="2:22" x14ac:dyDescent="0.25">
      <c r="B43" s="70" t="s">
        <v>156</v>
      </c>
      <c r="C43" s="70" t="s">
        <v>157</v>
      </c>
      <c r="D43" s="70" t="s">
        <v>211</v>
      </c>
      <c r="E43" s="77" t="s">
        <v>215</v>
      </c>
      <c r="G43" s="70" t="s">
        <v>156</v>
      </c>
      <c r="H43" s="70" t="s">
        <v>157</v>
      </c>
      <c r="I43" s="70" t="s">
        <v>211</v>
      </c>
      <c r="J43" s="77" t="s">
        <v>215</v>
      </c>
      <c r="L43" s="306">
        <v>488</v>
      </c>
      <c r="M43" s="307">
        <v>16</v>
      </c>
      <c r="P43" s="308">
        <v>12000</v>
      </c>
      <c r="Q43" s="307">
        <v>82</v>
      </c>
      <c r="S43" s="309">
        <f t="shared" si="1"/>
        <v>13</v>
      </c>
      <c r="T43" s="310">
        <f t="shared" si="3"/>
        <v>13</v>
      </c>
      <c r="U43" s="67">
        <f t="shared" si="5"/>
        <v>59</v>
      </c>
      <c r="V43" s="310">
        <f t="shared" si="6"/>
        <v>90</v>
      </c>
    </row>
    <row r="44" spans="2:22" x14ac:dyDescent="0.25">
      <c r="B44" s="67"/>
      <c r="C44" s="73"/>
      <c r="D44" s="72"/>
      <c r="E44" s="67" t="str">
        <f>IF(MID(E40,4,2)="66",160,IF(MID(E40,4,2)="65",150,IF(MID(E40,4,2)="64",140,IF(MID(E40,4,2)="63",130,IF(MID(E40,4,2)="62",120,IF(MID(E40,4,2)="61",110,IF(MID(E40,4,2)="60",100,IF(MID(E40,4,2)="59","090",IF(MID(E40,4,2)="58","080",IF(MID(E40,4,2)="67","070",IF(MID(E40,4,2)="56","060"," ")))))))))))</f>
        <v xml:space="preserve"> </v>
      </c>
      <c r="G44" s="67"/>
      <c r="H44" s="73"/>
      <c r="I44" s="72"/>
      <c r="J44" s="67" t="str">
        <f>IF(MID(J40,4,2)="66",160,IF(MID(J40,4,2)="65",150,IF(MID(J40,4,2)="64",140,IF(MID(J40,4,2)="63",130,IF(MID(J40,4,2)="62",120,IF(MID(J40,4,2)="61",110,IF(MID(J40,4,2)="60",100,IF(MID(J40,4,2)="59","090",IF(MID(J40,4,2)="58","080",IF(MID(J40,4,2)="67","070",IF(MID(J40,4,2)="56","060"," ")))))))))))</f>
        <v xml:space="preserve"> </v>
      </c>
      <c r="L44" s="306">
        <v>518</v>
      </c>
      <c r="M44" s="307">
        <v>17</v>
      </c>
      <c r="P44" s="308">
        <v>13500</v>
      </c>
      <c r="Q44" s="307">
        <v>83</v>
      </c>
      <c r="S44" s="309">
        <f t="shared" si="1"/>
        <v>14</v>
      </c>
      <c r="T44" s="310">
        <f t="shared" si="3"/>
        <v>14</v>
      </c>
      <c r="U44" s="67">
        <f t="shared" si="5"/>
        <v>60</v>
      </c>
      <c r="V44" s="310">
        <f t="shared" si="6"/>
        <v>100</v>
      </c>
    </row>
    <row r="45" spans="2:22" x14ac:dyDescent="0.25">
      <c r="B45" s="68" t="s">
        <v>210</v>
      </c>
      <c r="C45" s="68" t="s">
        <v>209</v>
      </c>
      <c r="D45" s="68" t="s">
        <v>208</v>
      </c>
      <c r="E45" s="82" t="s">
        <v>225</v>
      </c>
      <c r="G45" s="68" t="s">
        <v>210</v>
      </c>
      <c r="H45" s="68" t="s">
        <v>209</v>
      </c>
      <c r="I45" s="68" t="s">
        <v>208</v>
      </c>
      <c r="J45" s="82" t="s">
        <v>225</v>
      </c>
      <c r="L45" s="306">
        <v>549</v>
      </c>
      <c r="M45" s="307">
        <v>18</v>
      </c>
      <c r="P45" s="308">
        <v>15000</v>
      </c>
      <c r="Q45" s="307">
        <v>84</v>
      </c>
      <c r="S45" s="309">
        <f t="shared" si="1"/>
        <v>15</v>
      </c>
      <c r="T45" s="310">
        <f t="shared" si="3"/>
        <v>15</v>
      </c>
      <c r="U45" s="67">
        <f t="shared" si="5"/>
        <v>61</v>
      </c>
      <c r="V45" s="310">
        <f t="shared" si="6"/>
        <v>110</v>
      </c>
    </row>
    <row r="46" spans="2:22" x14ac:dyDescent="0.25">
      <c r="B46" s="67"/>
      <c r="C46" s="67"/>
      <c r="D46" s="67"/>
      <c r="E46" s="67"/>
      <c r="G46" s="67"/>
      <c r="H46" s="67"/>
      <c r="I46" s="67"/>
      <c r="J46" s="67"/>
      <c r="L46" s="306">
        <v>579</v>
      </c>
      <c r="M46" s="307">
        <v>19</v>
      </c>
      <c r="P46" s="308">
        <v>16500</v>
      </c>
      <c r="Q46" s="307">
        <v>85</v>
      </c>
      <c r="S46" s="309">
        <f t="shared" si="1"/>
        <v>16</v>
      </c>
      <c r="T46" s="310">
        <f t="shared" si="3"/>
        <v>16</v>
      </c>
      <c r="U46" s="67">
        <f t="shared" si="5"/>
        <v>62</v>
      </c>
      <c r="V46" s="310">
        <f t="shared" si="6"/>
        <v>120</v>
      </c>
    </row>
    <row r="47" spans="2:22" x14ac:dyDescent="0.25">
      <c r="B47" s="70" t="s">
        <v>207</v>
      </c>
      <c r="C47" s="70" t="s">
        <v>206</v>
      </c>
      <c r="D47" s="70" t="s">
        <v>205</v>
      </c>
      <c r="G47" s="70" t="s">
        <v>207</v>
      </c>
      <c r="H47" s="70" t="s">
        <v>206</v>
      </c>
      <c r="I47" s="70" t="s">
        <v>205</v>
      </c>
      <c r="L47" s="306">
        <v>610</v>
      </c>
      <c r="M47" s="307">
        <v>20</v>
      </c>
      <c r="P47" s="308">
        <v>18000</v>
      </c>
      <c r="Q47" s="307">
        <v>86</v>
      </c>
      <c r="S47" s="309">
        <f t="shared" si="1"/>
        <v>17</v>
      </c>
      <c r="T47" s="310">
        <f t="shared" si="3"/>
        <v>17</v>
      </c>
      <c r="U47" s="67">
        <f t="shared" si="5"/>
        <v>63</v>
      </c>
      <c r="V47" s="310">
        <f t="shared" si="6"/>
        <v>130</v>
      </c>
    </row>
    <row r="48" spans="2:22" x14ac:dyDescent="0.25">
      <c r="B48" s="67"/>
      <c r="C48" s="67"/>
      <c r="D48" s="67"/>
      <c r="G48" s="67"/>
      <c r="H48" s="67"/>
      <c r="I48" s="67"/>
      <c r="L48" s="306">
        <v>640</v>
      </c>
      <c r="M48" s="307">
        <v>21</v>
      </c>
      <c r="P48" s="308">
        <v>19500</v>
      </c>
      <c r="Q48" s="307">
        <v>87</v>
      </c>
      <c r="S48" s="309">
        <f t="shared" si="1"/>
        <v>18</v>
      </c>
      <c r="T48" s="310">
        <f t="shared" si="3"/>
        <v>18</v>
      </c>
      <c r="U48" s="67">
        <f t="shared" si="5"/>
        <v>64</v>
      </c>
      <c r="V48" s="310">
        <f t="shared" si="6"/>
        <v>140</v>
      </c>
    </row>
    <row r="49" spans="2:22" x14ac:dyDescent="0.25">
      <c r="B49" s="68" t="s">
        <v>204</v>
      </c>
      <c r="C49" s="68" t="s">
        <v>203</v>
      </c>
      <c r="D49" s="68" t="s">
        <v>202</v>
      </c>
      <c r="G49" s="68" t="s">
        <v>204</v>
      </c>
      <c r="H49" s="68" t="s">
        <v>203</v>
      </c>
      <c r="I49" s="68" t="s">
        <v>202</v>
      </c>
      <c r="L49" s="306">
        <v>671</v>
      </c>
      <c r="M49" s="307">
        <v>22</v>
      </c>
      <c r="P49" s="308">
        <v>21000</v>
      </c>
      <c r="Q49" s="307">
        <v>88</v>
      </c>
      <c r="S49" s="309">
        <f t="shared" si="1"/>
        <v>19</v>
      </c>
      <c r="T49" s="310">
        <f t="shared" si="3"/>
        <v>19</v>
      </c>
      <c r="U49" s="67">
        <f t="shared" si="5"/>
        <v>65</v>
      </c>
      <c r="V49" s="310">
        <f t="shared" si="6"/>
        <v>150</v>
      </c>
    </row>
    <row r="50" spans="2:22" x14ac:dyDescent="0.25">
      <c r="B50" s="67"/>
      <c r="C50" s="67"/>
      <c r="D50" s="79"/>
      <c r="G50" s="67"/>
      <c r="H50" s="67"/>
      <c r="I50" s="79"/>
      <c r="L50" s="306">
        <v>701</v>
      </c>
      <c r="M50" s="307">
        <v>23</v>
      </c>
      <c r="P50" s="308">
        <v>22500</v>
      </c>
      <c r="Q50" s="307">
        <v>89</v>
      </c>
      <c r="S50" s="309">
        <f t="shared" si="1"/>
        <v>20</v>
      </c>
      <c r="T50" s="310">
        <f t="shared" si="3"/>
        <v>20</v>
      </c>
      <c r="U50" s="67">
        <f t="shared" si="5"/>
        <v>66</v>
      </c>
      <c r="V50" s="310">
        <f t="shared" si="6"/>
        <v>160</v>
      </c>
    </row>
    <row r="51" spans="2:22" x14ac:dyDescent="0.25">
      <c r="B51" s="70" t="s">
        <v>201</v>
      </c>
      <c r="C51" s="70" t="s">
        <v>200</v>
      </c>
      <c r="D51" s="70" t="s">
        <v>199</v>
      </c>
      <c r="G51" s="70" t="s">
        <v>201</v>
      </c>
      <c r="H51" s="70" t="s">
        <v>200</v>
      </c>
      <c r="I51" s="70" t="s">
        <v>199</v>
      </c>
      <c r="L51" s="306">
        <v>732</v>
      </c>
      <c r="M51" s="307">
        <v>24</v>
      </c>
      <c r="S51" s="309">
        <f t="shared" si="1"/>
        <v>21</v>
      </c>
      <c r="T51" s="310">
        <f t="shared" si="3"/>
        <v>21</v>
      </c>
      <c r="U51" s="67">
        <f t="shared" si="5"/>
        <v>67</v>
      </c>
      <c r="V51" s="310">
        <f t="shared" si="6"/>
        <v>170</v>
      </c>
    </row>
    <row r="52" spans="2:22" x14ac:dyDescent="0.25">
      <c r="B52" s="67"/>
      <c r="C52" s="69"/>
      <c r="D52" s="67"/>
      <c r="G52" s="67"/>
      <c r="H52" s="69"/>
      <c r="I52" s="67"/>
      <c r="L52" s="306">
        <v>762</v>
      </c>
      <c r="M52" s="307">
        <v>25</v>
      </c>
      <c r="S52" s="309">
        <f t="shared" si="1"/>
        <v>22</v>
      </c>
      <c r="T52" s="310">
        <f t="shared" si="3"/>
        <v>22</v>
      </c>
      <c r="U52" s="67">
        <f t="shared" si="5"/>
        <v>68</v>
      </c>
      <c r="V52" s="310">
        <f t="shared" si="6"/>
        <v>180</v>
      </c>
    </row>
    <row r="53" spans="2:22" x14ac:dyDescent="0.25">
      <c r="B53" s="68" t="s">
        <v>198</v>
      </c>
      <c r="C53" s="68" t="s">
        <v>197</v>
      </c>
      <c r="G53" s="68" t="s">
        <v>198</v>
      </c>
      <c r="H53" s="68" t="s">
        <v>197</v>
      </c>
      <c r="L53" s="306">
        <v>792</v>
      </c>
      <c r="M53" s="307">
        <v>26</v>
      </c>
      <c r="S53" s="309">
        <f t="shared" si="1"/>
        <v>23</v>
      </c>
      <c r="T53" s="310">
        <f t="shared" si="3"/>
        <v>23</v>
      </c>
      <c r="U53" s="67">
        <f t="shared" si="5"/>
        <v>69</v>
      </c>
      <c r="V53" s="310">
        <f t="shared" si="6"/>
        <v>190</v>
      </c>
    </row>
    <row r="54" spans="2:22" x14ac:dyDescent="0.25">
      <c r="B54" s="67"/>
      <c r="C54" s="67"/>
      <c r="G54" s="67"/>
      <c r="H54" s="67"/>
      <c r="L54" s="306">
        <v>822</v>
      </c>
      <c r="M54" s="307">
        <v>27</v>
      </c>
      <c r="S54" s="309">
        <f t="shared" si="1"/>
        <v>24</v>
      </c>
      <c r="T54" s="310">
        <f t="shared" si="3"/>
        <v>24</v>
      </c>
      <c r="U54" s="67">
        <f t="shared" si="5"/>
        <v>70</v>
      </c>
      <c r="V54" s="310">
        <f t="shared" si="6"/>
        <v>200</v>
      </c>
    </row>
    <row r="55" spans="2:22" x14ac:dyDescent="0.25">
      <c r="L55" s="306">
        <v>852</v>
      </c>
      <c r="M55" s="307">
        <v>28</v>
      </c>
      <c r="S55" s="309">
        <f t="shared" si="1"/>
        <v>25</v>
      </c>
      <c r="T55" s="310">
        <f t="shared" si="3"/>
        <v>25</v>
      </c>
      <c r="U55" s="67">
        <f t="shared" si="5"/>
        <v>71</v>
      </c>
      <c r="V55" s="310">
        <f t="shared" si="6"/>
        <v>210</v>
      </c>
    </row>
    <row r="56" spans="2:22" x14ac:dyDescent="0.25">
      <c r="L56" s="306">
        <v>882</v>
      </c>
      <c r="M56" s="307">
        <v>29</v>
      </c>
      <c r="S56" s="309">
        <f t="shared" si="1"/>
        <v>26</v>
      </c>
      <c r="T56" s="310">
        <f t="shared" si="3"/>
        <v>26</v>
      </c>
      <c r="U56" s="67">
        <f t="shared" si="5"/>
        <v>72</v>
      </c>
      <c r="V56" s="310">
        <f t="shared" si="6"/>
        <v>220</v>
      </c>
    </row>
    <row r="57" spans="2:22" x14ac:dyDescent="0.25">
      <c r="L57" s="306">
        <v>912</v>
      </c>
      <c r="M57" s="307">
        <v>30</v>
      </c>
      <c r="S57" s="309">
        <f t="shared" si="1"/>
        <v>27</v>
      </c>
      <c r="T57" s="310">
        <f t="shared" si="3"/>
        <v>27</v>
      </c>
      <c r="U57" s="67">
        <f t="shared" si="5"/>
        <v>73</v>
      </c>
      <c r="V57" s="310">
        <f t="shared" si="6"/>
        <v>230</v>
      </c>
    </row>
    <row r="58" spans="2:22" x14ac:dyDescent="0.25">
      <c r="L58" s="306">
        <v>942</v>
      </c>
      <c r="M58" s="307">
        <v>31</v>
      </c>
      <c r="S58" s="309">
        <f t="shared" si="1"/>
        <v>28</v>
      </c>
      <c r="T58" s="310">
        <f t="shared" si="3"/>
        <v>28</v>
      </c>
      <c r="U58" s="67">
        <f t="shared" si="5"/>
        <v>74</v>
      </c>
      <c r="V58" s="310">
        <f t="shared" si="6"/>
        <v>240</v>
      </c>
    </row>
    <row r="59" spans="2:22" x14ac:dyDescent="0.25">
      <c r="L59" s="306">
        <v>972</v>
      </c>
      <c r="M59" s="307">
        <v>32</v>
      </c>
      <c r="S59" s="309">
        <f t="shared" si="1"/>
        <v>29</v>
      </c>
      <c r="T59" s="310">
        <f t="shared" si="3"/>
        <v>29</v>
      </c>
      <c r="U59" s="67">
        <f t="shared" si="5"/>
        <v>75</v>
      </c>
      <c r="V59" s="310">
        <f t="shared" si="6"/>
        <v>250</v>
      </c>
    </row>
    <row r="60" spans="2:22" x14ac:dyDescent="0.25">
      <c r="L60" s="308">
        <v>1002</v>
      </c>
      <c r="M60" s="307">
        <v>33</v>
      </c>
      <c r="S60" s="309">
        <f t="shared" si="1"/>
        <v>30</v>
      </c>
      <c r="T60" s="310">
        <f t="shared" si="3"/>
        <v>30</v>
      </c>
      <c r="U60" s="67">
        <f t="shared" si="5"/>
        <v>76</v>
      </c>
      <c r="V60" s="310">
        <f t="shared" si="6"/>
        <v>260</v>
      </c>
    </row>
    <row r="61" spans="2:22" x14ac:dyDescent="0.25">
      <c r="L61" s="308">
        <v>1034</v>
      </c>
      <c r="M61" s="307">
        <v>34</v>
      </c>
      <c r="S61" s="309">
        <f t="shared" si="1"/>
        <v>31</v>
      </c>
      <c r="T61" s="310">
        <f t="shared" si="3"/>
        <v>31</v>
      </c>
      <c r="U61" s="67">
        <f t="shared" si="5"/>
        <v>77</v>
      </c>
      <c r="V61" s="310">
        <f t="shared" si="6"/>
        <v>270</v>
      </c>
    </row>
    <row r="62" spans="2:22" x14ac:dyDescent="0.25">
      <c r="L62" s="308">
        <v>1067</v>
      </c>
      <c r="M62" s="307">
        <v>35</v>
      </c>
      <c r="S62" s="309">
        <f t="shared" si="1"/>
        <v>32</v>
      </c>
      <c r="T62" s="310">
        <f t="shared" si="3"/>
        <v>32</v>
      </c>
      <c r="U62" s="67">
        <f t="shared" si="5"/>
        <v>78</v>
      </c>
      <c r="V62" s="310">
        <f t="shared" si="6"/>
        <v>280</v>
      </c>
    </row>
    <row r="63" spans="2:22" x14ac:dyDescent="0.25">
      <c r="L63" s="308">
        <v>1099</v>
      </c>
      <c r="M63" s="307">
        <v>36</v>
      </c>
      <c r="S63" s="309">
        <f t="shared" si="1"/>
        <v>33</v>
      </c>
      <c r="T63" s="310">
        <f t="shared" si="3"/>
        <v>33</v>
      </c>
      <c r="U63" s="67">
        <f t="shared" si="5"/>
        <v>79</v>
      </c>
      <c r="V63" s="310">
        <f t="shared" si="6"/>
        <v>290</v>
      </c>
    </row>
    <row r="64" spans="2:22" x14ac:dyDescent="0.25">
      <c r="L64" s="308">
        <v>1121</v>
      </c>
      <c r="M64" s="307">
        <v>37</v>
      </c>
      <c r="S64" s="309">
        <f t="shared" si="1"/>
        <v>34</v>
      </c>
      <c r="T64" s="310">
        <f t="shared" si="3"/>
        <v>34</v>
      </c>
      <c r="U64" s="67">
        <f t="shared" si="5"/>
        <v>80</v>
      </c>
      <c r="V64" s="310">
        <f t="shared" si="6"/>
        <v>300</v>
      </c>
    </row>
    <row r="65" spans="12:22" x14ac:dyDescent="0.25">
      <c r="L65" s="308">
        <v>1156</v>
      </c>
      <c r="M65" s="307">
        <v>38</v>
      </c>
      <c r="S65" s="309">
        <f t="shared" si="1"/>
        <v>35</v>
      </c>
      <c r="T65" s="310">
        <f t="shared" si="3"/>
        <v>35</v>
      </c>
      <c r="U65" s="67"/>
      <c r="V65" s="310"/>
    </row>
    <row r="66" spans="12:22" x14ac:dyDescent="0.25">
      <c r="L66" s="308">
        <v>1189</v>
      </c>
      <c r="M66" s="307">
        <v>39</v>
      </c>
      <c r="S66" s="309">
        <f t="shared" si="1"/>
        <v>36</v>
      </c>
      <c r="T66" s="310">
        <f t="shared" si="3"/>
        <v>36</v>
      </c>
      <c r="U66" s="67"/>
      <c r="V66" s="310"/>
    </row>
    <row r="67" spans="12:22" x14ac:dyDescent="0.25">
      <c r="L67" s="308">
        <v>1215</v>
      </c>
      <c r="M67" s="307">
        <v>40</v>
      </c>
      <c r="S67" s="309">
        <f t="shared" si="1"/>
        <v>37</v>
      </c>
      <c r="T67" s="310">
        <f t="shared" si="3"/>
        <v>37</v>
      </c>
      <c r="U67" s="67"/>
      <c r="V67" s="310"/>
    </row>
    <row r="68" spans="12:22" x14ac:dyDescent="0.25">
      <c r="L68" s="308">
        <v>1256</v>
      </c>
      <c r="M68" s="307">
        <v>41</v>
      </c>
      <c r="S68" s="309">
        <f t="shared" si="1"/>
        <v>38</v>
      </c>
      <c r="T68" s="310">
        <f t="shared" si="3"/>
        <v>38</v>
      </c>
      <c r="U68" s="67"/>
      <c r="V68" s="310"/>
    </row>
    <row r="69" spans="12:22" x14ac:dyDescent="0.25">
      <c r="L69" s="308">
        <v>1280</v>
      </c>
      <c r="M69" s="307">
        <v>42</v>
      </c>
      <c r="S69" s="309">
        <f t="shared" si="1"/>
        <v>39</v>
      </c>
      <c r="T69" s="310">
        <f t="shared" si="3"/>
        <v>39</v>
      </c>
      <c r="U69" s="67"/>
      <c r="V69" s="310"/>
    </row>
    <row r="70" spans="12:22" x14ac:dyDescent="0.25">
      <c r="L70" s="308">
        <v>1311</v>
      </c>
      <c r="M70" s="307">
        <v>43</v>
      </c>
      <c r="S70" s="309">
        <f t="shared" si="1"/>
        <v>40</v>
      </c>
      <c r="T70" s="310">
        <f t="shared" si="3"/>
        <v>40</v>
      </c>
      <c r="U70" s="67"/>
      <c r="V70" s="310"/>
    </row>
    <row r="71" spans="12:22" x14ac:dyDescent="0.25">
      <c r="L71" s="306">
        <v>1.341</v>
      </c>
      <c r="M71" s="307">
        <v>44</v>
      </c>
    </row>
    <row r="72" spans="12:22" x14ac:dyDescent="0.25">
      <c r="L72" s="308">
        <v>1732</v>
      </c>
      <c r="M72" s="307">
        <v>45</v>
      </c>
    </row>
    <row r="73" spans="12:22" x14ac:dyDescent="0.25">
      <c r="L73" s="308">
        <v>1402</v>
      </c>
      <c r="M73" s="307">
        <v>46</v>
      </c>
    </row>
    <row r="74" spans="12:22" x14ac:dyDescent="0.25">
      <c r="L74" s="308">
        <v>1434</v>
      </c>
      <c r="M74" s="307">
        <v>47</v>
      </c>
    </row>
    <row r="75" spans="12:22" x14ac:dyDescent="0.25">
      <c r="L75" s="308">
        <v>1466</v>
      </c>
      <c r="M75" s="307">
        <v>48</v>
      </c>
    </row>
    <row r="76" spans="12:22" x14ac:dyDescent="0.25">
      <c r="L76" s="308">
        <v>1494</v>
      </c>
      <c r="M76" s="307">
        <v>49</v>
      </c>
    </row>
    <row r="77" spans="12:22" x14ac:dyDescent="0.25">
      <c r="L77" s="308">
        <v>1524</v>
      </c>
      <c r="M77" s="307">
        <v>50</v>
      </c>
    </row>
  </sheetData>
  <mergeCells count="12">
    <mergeCell ref="B38:E38"/>
    <mergeCell ref="G38:J38"/>
    <mergeCell ref="S29:V29"/>
    <mergeCell ref="L2:M2"/>
    <mergeCell ref="B2:E2"/>
    <mergeCell ref="G2:J2"/>
    <mergeCell ref="L13:M13"/>
    <mergeCell ref="L29:M29"/>
    <mergeCell ref="N29:O29"/>
    <mergeCell ref="P29:Q29"/>
    <mergeCell ref="B20:E20"/>
    <mergeCell ref="G20:J20"/>
  </mergeCells>
  <phoneticPr fontId="4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Generar2">
                <anchor moveWithCells="1" sizeWithCells="1">
                  <from>
                    <xdr:col>10</xdr:col>
                    <xdr:colOff>723900</xdr:colOff>
                    <xdr:row>22</xdr:row>
                    <xdr:rowOff>57150</xdr:rowOff>
                  </from>
                  <to>
                    <xdr:col>12</xdr:col>
                    <xdr:colOff>95250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orrarDatos">
                <anchor moveWithCells="1" sizeWithCells="1">
                  <from>
                    <xdr:col>12</xdr:col>
                    <xdr:colOff>276225</xdr:colOff>
                    <xdr:row>22</xdr:row>
                    <xdr:rowOff>38100</xdr:rowOff>
                  </from>
                  <to>
                    <xdr:col>13</xdr:col>
                    <xdr:colOff>419100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theme="5"/>
  </sheetPr>
  <dimension ref="A1:AJ41"/>
  <sheetViews>
    <sheetView showGridLines="0" showRowColHeaders="0" tabSelected="1" topLeftCell="A12" zoomScale="110" zoomScaleNormal="110" zoomScaleSheetLayoutView="85" workbookViewId="0">
      <selection activeCell="N32" sqref="N32"/>
    </sheetView>
  </sheetViews>
  <sheetFormatPr baseColWidth="10" defaultColWidth="0" defaultRowHeight="12.75" zeroHeight="1" x14ac:dyDescent="0.2"/>
  <cols>
    <col min="1" max="1" width="0.28515625" style="49" customWidth="1"/>
    <col min="2" max="2" width="3.85546875" style="49" customWidth="1"/>
    <col min="3" max="5" width="9.140625" style="49" customWidth="1"/>
    <col min="6" max="6" width="2.5703125" style="49" customWidth="1"/>
    <col min="7" max="7" width="7.5703125" style="49" bestFit="1" customWidth="1"/>
    <col min="8" max="8" width="4.85546875" style="49" customWidth="1"/>
    <col min="9" max="9" width="7.7109375" style="49" customWidth="1"/>
    <col min="10" max="10" width="5.42578125" style="49" customWidth="1"/>
    <col min="11" max="11" width="4.7109375" style="49" customWidth="1"/>
    <col min="12" max="12" width="7" style="49" bestFit="1" customWidth="1"/>
    <col min="13" max="13" width="6" style="49" bestFit="1" customWidth="1"/>
    <col min="14" max="14" width="4.85546875" style="49" customWidth="1"/>
    <col min="15" max="15" width="5.28515625" style="49" customWidth="1"/>
    <col min="16" max="16" width="4.28515625" style="49" customWidth="1"/>
    <col min="17" max="18" width="3" style="49" bestFit="1" customWidth="1"/>
    <col min="19" max="24" width="2.7109375" style="49" customWidth="1"/>
    <col min="25" max="26" width="3" style="49" bestFit="1" customWidth="1"/>
    <col min="27" max="36" width="2.28515625" style="49" customWidth="1"/>
    <col min="37" max="16384" width="2.28515625" style="49" hidden="1"/>
  </cols>
  <sheetData>
    <row r="1" spans="1:26" ht="3.75" customHeight="1" thickBot="1" x14ac:dyDescent="0.25"/>
    <row r="2" spans="1:26" ht="15.75" x14ac:dyDescent="0.25">
      <c r="B2" s="348" t="s">
        <v>296</v>
      </c>
      <c r="C2" s="349"/>
      <c r="D2" s="349"/>
      <c r="E2" s="349"/>
      <c r="F2" s="349"/>
      <c r="G2" s="349"/>
      <c r="H2" s="349"/>
      <c r="I2" s="349"/>
      <c r="J2" s="349"/>
      <c r="K2" s="370" t="s">
        <v>292</v>
      </c>
      <c r="L2" s="371"/>
      <c r="M2" s="381" t="str">
        <f>IF(W2="","",VLOOKUP(W2,FORMULAS!O:T,2,FALSE))</f>
        <v>Central</v>
      </c>
      <c r="N2" s="381"/>
      <c r="O2" s="381"/>
      <c r="P2" s="371" t="s">
        <v>288</v>
      </c>
      <c r="Q2" s="371"/>
      <c r="R2" s="371"/>
      <c r="S2" s="371"/>
      <c r="T2" s="371"/>
      <c r="U2" s="371"/>
      <c r="V2" s="371"/>
      <c r="W2" s="381">
        <f>IF('0006Z'!C8="","",'0006Z'!C8)</f>
        <v>78486</v>
      </c>
      <c r="X2" s="381"/>
      <c r="Y2" s="381"/>
      <c r="Z2" s="255"/>
    </row>
    <row r="3" spans="1:26" ht="15" customHeight="1" x14ac:dyDescent="0.25">
      <c r="B3" s="356" t="s">
        <v>295</v>
      </c>
      <c r="C3" s="357"/>
      <c r="D3" s="357"/>
      <c r="E3" s="357"/>
      <c r="F3" s="357"/>
      <c r="G3" s="357"/>
      <c r="H3" s="357"/>
      <c r="I3" s="357"/>
      <c r="J3" s="358"/>
      <c r="K3" s="369" t="s">
        <v>289</v>
      </c>
      <c r="L3" s="341"/>
      <c r="M3" s="271" t="str">
        <f>IF(W2="","",LEFT(VLOOKUP(W2,FORMULAS!O:T,4,FALSE),2))</f>
        <v>18</v>
      </c>
      <c r="N3" s="256" t="s">
        <v>253</v>
      </c>
      <c r="O3" s="272" t="str">
        <f>IF(W2="","",MID(TEXT(VLOOKUP(W2,FORMULAS!O:T,4,FALSE),"0.0000"),4,2))&amp;"''"</f>
        <v>47''</v>
      </c>
      <c r="P3" s="199" t="s">
        <v>171</v>
      </c>
      <c r="Q3" s="341" t="s">
        <v>290</v>
      </c>
      <c r="R3" s="341"/>
      <c r="S3" s="341"/>
      <c r="T3" s="383" t="str">
        <f>IF(W2="","",LEFT(ABS(VLOOKUP(W2,FORMULAS!O:T,5,FALSE)),2))</f>
        <v>69</v>
      </c>
      <c r="U3" s="383"/>
      <c r="V3" s="257" t="s">
        <v>253</v>
      </c>
      <c r="W3" s="383" t="str">
        <f>IF(W2="","",MID(TEXT(ABS(VLOOKUP(W2,FORMULAS!O:T,5,FALSE)),"0.0000"),4,2))&amp;"''"</f>
        <v>87''</v>
      </c>
      <c r="X3" s="383"/>
      <c r="Y3" s="199" t="s">
        <v>291</v>
      </c>
      <c r="Z3" s="258"/>
    </row>
    <row r="4" spans="1:26" x14ac:dyDescent="0.2">
      <c r="B4" s="359"/>
      <c r="C4" s="360"/>
      <c r="D4" s="360"/>
      <c r="E4" s="360"/>
      <c r="F4" s="360"/>
      <c r="G4" s="360"/>
      <c r="H4" s="360"/>
      <c r="I4" s="360"/>
      <c r="J4" s="361"/>
      <c r="K4" s="369"/>
      <c r="L4" s="341"/>
      <c r="M4" s="198"/>
      <c r="N4" s="382"/>
      <c r="O4" s="382"/>
      <c r="P4" s="382"/>
      <c r="Q4" s="341"/>
      <c r="R4" s="341"/>
      <c r="S4" s="341"/>
      <c r="T4" s="259"/>
      <c r="U4" s="259"/>
      <c r="V4" s="259"/>
      <c r="W4" s="259"/>
      <c r="X4" s="259"/>
      <c r="Y4" s="260"/>
      <c r="Z4" s="261"/>
    </row>
    <row r="5" spans="1:26" ht="19.5" customHeight="1" x14ac:dyDescent="0.25">
      <c r="B5" s="350" t="s">
        <v>297</v>
      </c>
      <c r="C5" s="351"/>
      <c r="D5" s="351"/>
      <c r="E5" s="351"/>
      <c r="F5" s="351"/>
      <c r="G5" s="351"/>
      <c r="H5" s="351"/>
      <c r="I5" s="351"/>
      <c r="J5" s="352"/>
      <c r="K5" s="369" t="s">
        <v>304</v>
      </c>
      <c r="L5" s="341"/>
      <c r="M5" s="339">
        <f>IF(W2="","",VLOOKUP(W2,FORMULAS!O:T,6,FALSE))</f>
        <v>14</v>
      </c>
      <c r="N5" s="339"/>
      <c r="O5" s="199" t="s">
        <v>227</v>
      </c>
      <c r="P5" s="262" t="s">
        <v>294</v>
      </c>
      <c r="Q5" s="343">
        <v>1</v>
      </c>
      <c r="R5" s="343"/>
      <c r="S5" s="341" t="s">
        <v>252</v>
      </c>
      <c r="T5" s="341"/>
      <c r="U5" s="342" t="s">
        <v>349</v>
      </c>
      <c r="V5" s="342"/>
      <c r="W5" s="342"/>
      <c r="X5" s="342"/>
      <c r="Y5" s="342"/>
      <c r="Z5" s="261"/>
    </row>
    <row r="6" spans="1:26" ht="21.75" customHeight="1" x14ac:dyDescent="0.2">
      <c r="B6" s="353"/>
      <c r="C6" s="354"/>
      <c r="D6" s="354"/>
      <c r="E6" s="354"/>
      <c r="F6" s="354"/>
      <c r="G6" s="354"/>
      <c r="H6" s="354"/>
      <c r="I6" s="354"/>
      <c r="J6" s="355"/>
      <c r="K6" s="217"/>
      <c r="L6" s="176"/>
      <c r="M6" s="177"/>
      <c r="N6" s="176"/>
      <c r="O6" s="177"/>
      <c r="P6" s="176" t="s">
        <v>251</v>
      </c>
      <c r="Q6" s="343">
        <v>2026</v>
      </c>
      <c r="R6" s="343"/>
      <c r="S6" s="177"/>
      <c r="T6" s="177"/>
      <c r="U6" s="177"/>
      <c r="V6" s="177"/>
      <c r="W6" s="177"/>
      <c r="X6" s="177"/>
      <c r="Y6" s="177"/>
      <c r="Z6" s="263"/>
    </row>
    <row r="7" spans="1:26" ht="15.75" customHeight="1" x14ac:dyDescent="0.2">
      <c r="B7" s="362" t="s">
        <v>153</v>
      </c>
      <c r="C7" s="365" t="s">
        <v>245</v>
      </c>
      <c r="D7" s="365"/>
      <c r="E7" s="365"/>
      <c r="F7" s="365"/>
      <c r="G7" s="365"/>
      <c r="H7" s="366" t="s">
        <v>244</v>
      </c>
      <c r="I7" s="366"/>
      <c r="J7" s="367" t="s">
        <v>152</v>
      </c>
      <c r="K7" s="368"/>
      <c r="L7" s="368"/>
      <c r="M7" s="368" t="s">
        <v>151</v>
      </c>
      <c r="N7" s="368"/>
      <c r="O7" s="377" t="s">
        <v>243</v>
      </c>
      <c r="P7" s="379" t="s">
        <v>150</v>
      </c>
      <c r="Q7" s="373" t="s">
        <v>149</v>
      </c>
      <c r="R7" s="374"/>
      <c r="S7" s="375"/>
      <c r="T7" s="375"/>
      <c r="U7" s="375"/>
      <c r="V7" s="375"/>
      <c r="W7" s="375"/>
      <c r="X7" s="375"/>
      <c r="Y7" s="375"/>
      <c r="Z7" s="376"/>
    </row>
    <row r="8" spans="1:26" ht="12.75" customHeight="1" x14ac:dyDescent="0.2">
      <c r="B8" s="363"/>
      <c r="C8" s="344" t="s">
        <v>299</v>
      </c>
      <c r="D8" s="344" t="s">
        <v>242</v>
      </c>
      <c r="E8" s="344" t="s">
        <v>300</v>
      </c>
      <c r="F8" s="345" t="s">
        <v>148</v>
      </c>
      <c r="G8" s="345"/>
      <c r="H8" s="346" t="s">
        <v>241</v>
      </c>
      <c r="I8" s="347"/>
      <c r="J8" s="200" t="s">
        <v>240</v>
      </c>
      <c r="K8" s="200" t="s">
        <v>239</v>
      </c>
      <c r="L8" s="200" t="s">
        <v>147</v>
      </c>
      <c r="M8" s="200" t="s">
        <v>319</v>
      </c>
      <c r="N8" s="200" t="s">
        <v>298</v>
      </c>
      <c r="O8" s="378"/>
      <c r="P8" s="380"/>
      <c r="Q8" s="340" t="s">
        <v>238</v>
      </c>
      <c r="R8" s="340" t="s">
        <v>277</v>
      </c>
      <c r="S8" s="340" t="s">
        <v>237</v>
      </c>
      <c r="T8" s="340" t="s">
        <v>236</v>
      </c>
      <c r="U8" s="340" t="s">
        <v>235</v>
      </c>
      <c r="V8" s="340" t="s">
        <v>234</v>
      </c>
      <c r="W8" s="340" t="s">
        <v>233</v>
      </c>
      <c r="X8" s="340" t="s">
        <v>232</v>
      </c>
      <c r="Y8" s="340" t="s">
        <v>278</v>
      </c>
      <c r="Z8" s="372" t="s">
        <v>279</v>
      </c>
    </row>
    <row r="9" spans="1:26" ht="48" customHeight="1" x14ac:dyDescent="0.2">
      <c r="B9" s="364"/>
      <c r="C9" s="344"/>
      <c r="D9" s="344"/>
      <c r="E9" s="344"/>
      <c r="F9" s="178" t="s">
        <v>146</v>
      </c>
      <c r="G9" s="179" t="s">
        <v>231</v>
      </c>
      <c r="H9" s="179" t="s">
        <v>145</v>
      </c>
      <c r="I9" s="179" t="s">
        <v>301</v>
      </c>
      <c r="J9" s="179" t="s">
        <v>230</v>
      </c>
      <c r="K9" s="179" t="s">
        <v>229</v>
      </c>
      <c r="L9" s="179" t="s">
        <v>144</v>
      </c>
      <c r="M9" s="179" t="s">
        <v>228</v>
      </c>
      <c r="N9" s="179" t="s">
        <v>143</v>
      </c>
      <c r="O9" s="179" t="s">
        <v>142</v>
      </c>
      <c r="P9" s="380"/>
      <c r="Q9" s="340"/>
      <c r="R9" s="340"/>
      <c r="S9" s="340"/>
      <c r="T9" s="340"/>
      <c r="U9" s="340"/>
      <c r="V9" s="340"/>
      <c r="W9" s="340"/>
      <c r="X9" s="340"/>
      <c r="Y9" s="340"/>
      <c r="Z9" s="372"/>
    </row>
    <row r="10" spans="1:26" s="43" customFormat="1" x14ac:dyDescent="0.2">
      <c r="A10" s="49"/>
      <c r="B10" s="264">
        <v>1</v>
      </c>
      <c r="C10" s="180"/>
      <c r="D10" s="180"/>
      <c r="E10" s="180"/>
      <c r="F10" s="181"/>
      <c r="G10" s="180"/>
      <c r="H10" s="180"/>
      <c r="I10" s="180"/>
      <c r="J10" s="180"/>
      <c r="K10" s="180"/>
      <c r="L10" s="182"/>
      <c r="M10" s="183"/>
      <c r="N10" s="180"/>
      <c r="O10" s="180"/>
      <c r="P10" s="184"/>
      <c r="Q10" s="182"/>
      <c r="R10" s="182"/>
      <c r="S10" s="182"/>
      <c r="T10" s="182"/>
      <c r="U10" s="182"/>
      <c r="V10" s="182"/>
      <c r="W10" s="182"/>
      <c r="X10" s="182"/>
      <c r="Y10" s="182"/>
      <c r="Z10" s="265"/>
    </row>
    <row r="11" spans="1:26" s="43" customFormat="1" x14ac:dyDescent="0.2">
      <c r="A11" s="49"/>
      <c r="B11" s="266">
        <v>2</v>
      </c>
      <c r="C11" s="185">
        <f>IF('0006Z'!$C$31="","",IF('0006Z'!$C$31&gt;=900,'0006Z'!$C$31,'0006Z'!$C$31+1000))</f>
        <v>1014.2</v>
      </c>
      <c r="D11" s="185">
        <f>IF('0006Z'!$C$37=1.6,"",IF('0006Z'!$C$37&gt;=900,'0006Z'!$C$37,'0006Z'!$C$37+1000))</f>
        <v>1015.8</v>
      </c>
      <c r="E11" s="186"/>
      <c r="F11" s="187" t="str">
        <f>MID('0006Z'!$F$10, 2, 1)</f>
        <v>6</v>
      </c>
      <c r="G11" s="188" t="str">
        <f>MID('0006Z'!$F$10, 3, 2)&amp;"."&amp;MID('0006Z'!$F$10, 5, 1)</f>
        <v>00.8</v>
      </c>
      <c r="H11" s="185" t="str">
        <f>'0006Z'!$A$29</f>
        <v>24.4</v>
      </c>
      <c r="I11" s="185">
        <f>'0006Z'!$A$33</f>
        <v>22</v>
      </c>
      <c r="J11" s="185">
        <f>'0006Z'!$B$29</f>
        <v>21.009610582951122</v>
      </c>
      <c r="K11" s="185">
        <f>'0006Z'!$B$33</f>
        <v>24.804209924166098</v>
      </c>
      <c r="L11" s="191">
        <f>'0006Z'!$B$37</f>
        <v>81.171794282195094</v>
      </c>
      <c r="M11" s="190">
        <f>IFERROR(SUM(MID('0006Z'!$B$10,2,2)*10),"")</f>
        <v>0</v>
      </c>
      <c r="N11" s="186">
        <v>0</v>
      </c>
      <c r="O11" s="195">
        <f>IF('0006Z'!$H$33="","",'0006Z'!$H$33)</f>
        <v>160</v>
      </c>
      <c r="P11" s="312">
        <v>1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267">
        <v>0</v>
      </c>
    </row>
    <row r="12" spans="1:26" s="43" customFormat="1" x14ac:dyDescent="0.2">
      <c r="A12" s="49"/>
      <c r="B12" s="264">
        <v>3</v>
      </c>
      <c r="C12" s="180"/>
      <c r="D12" s="180"/>
      <c r="E12" s="180"/>
      <c r="F12" s="181"/>
      <c r="G12" s="180"/>
      <c r="H12" s="180"/>
      <c r="I12" s="180"/>
      <c r="J12" s="180"/>
      <c r="K12" s="180"/>
      <c r="L12" s="182"/>
      <c r="M12" s="183"/>
      <c r="N12" s="180"/>
      <c r="O12" s="183"/>
      <c r="P12" s="184"/>
      <c r="Q12" s="182"/>
      <c r="R12" s="182"/>
      <c r="S12" s="182"/>
      <c r="T12" s="182"/>
      <c r="U12" s="182"/>
      <c r="V12" s="182"/>
      <c r="W12" s="182"/>
      <c r="X12" s="182"/>
      <c r="Y12" s="182"/>
      <c r="Z12" s="265"/>
    </row>
    <row r="13" spans="1:26" s="43" customFormat="1" x14ac:dyDescent="0.2">
      <c r="A13" s="49"/>
      <c r="B13" s="264">
        <v>4</v>
      </c>
      <c r="C13" s="180"/>
      <c r="D13" s="180"/>
      <c r="E13" s="180"/>
      <c r="F13" s="181"/>
      <c r="G13" s="180"/>
      <c r="H13" s="180"/>
      <c r="I13" s="180"/>
      <c r="J13" s="180"/>
      <c r="K13" s="180"/>
      <c r="L13" s="182"/>
      <c r="M13" s="183"/>
      <c r="N13" s="180"/>
      <c r="O13" s="183"/>
      <c r="P13" s="184"/>
      <c r="Q13" s="182"/>
      <c r="R13" s="182"/>
      <c r="S13" s="182"/>
      <c r="T13" s="182"/>
      <c r="U13" s="182"/>
      <c r="V13" s="182"/>
      <c r="W13" s="182"/>
      <c r="X13" s="182"/>
      <c r="Y13" s="182"/>
      <c r="Z13" s="265"/>
    </row>
    <row r="14" spans="1:26" s="43" customFormat="1" x14ac:dyDescent="0.2">
      <c r="A14" s="49"/>
      <c r="B14" s="266">
        <v>5</v>
      </c>
      <c r="C14" s="185">
        <f>IF('0009Z'!$C$31="","",IF('0009Z'!$C$31&gt;=900,'0009Z'!$C$31,'0009Z'!$C$31+1000))</f>
        <v>1013.2</v>
      </c>
      <c r="D14" s="185">
        <f>IF('0009Z'!$C$37=1.6,"",IF('0009Z'!$C$37&gt;=900,'0009Z'!$C$37,'0009Z'!$C$37+1000))</f>
        <v>1014.8</v>
      </c>
      <c r="E14" s="186"/>
      <c r="F14" s="187" t="str">
        <f>MID('0009Z'!$F$10, 2, 1)</f>
        <v>7</v>
      </c>
      <c r="G14" s="188" t="str">
        <f>MID('0009Z'!$F$10, 3, 2)&amp;"."&amp;MID('0009Z'!$F$10, 5, 1)</f>
        <v>01.0</v>
      </c>
      <c r="H14" s="185" t="str">
        <f>'0009Z'!$A$29</f>
        <v>23.2</v>
      </c>
      <c r="I14" s="185">
        <f>'0009Z'!$A$33</f>
        <v>21.8</v>
      </c>
      <c r="J14" s="185">
        <f>'0009Z'!$B$29</f>
        <v>21.19515897396256</v>
      </c>
      <c r="K14" s="185">
        <f>'0009Z'!$B$33</f>
        <v>25.160210971375882</v>
      </c>
      <c r="L14" s="191">
        <f>'0009Z'!$B$37</f>
        <v>88.507039245116019</v>
      </c>
      <c r="M14" s="190">
        <f>IFERROR(SUM(MID('0009Z'!$B$10,2,2)*10),"")</f>
        <v>360</v>
      </c>
      <c r="N14" s="186">
        <v>1.7</v>
      </c>
      <c r="O14" s="195">
        <f>IF('0009Z'!$H$33="","",'0009Z'!$H$33)</f>
        <v>160</v>
      </c>
      <c r="P14" s="189" t="str">
        <f>FORMULAS!$M$10</f>
        <v>21</v>
      </c>
      <c r="Q14" s="192">
        <v>0</v>
      </c>
      <c r="R14" s="192">
        <v>0</v>
      </c>
      <c r="S14" s="192">
        <v>0</v>
      </c>
      <c r="T14" s="192">
        <v>0</v>
      </c>
      <c r="U14" s="192">
        <v>0</v>
      </c>
      <c r="V14" s="192">
        <v>0</v>
      </c>
      <c r="W14" s="192">
        <v>0</v>
      </c>
      <c r="X14" s="192">
        <v>0</v>
      </c>
      <c r="Y14" s="192">
        <v>0</v>
      </c>
      <c r="Z14" s="267">
        <v>0</v>
      </c>
    </row>
    <row r="15" spans="1:26" s="43" customFormat="1" x14ac:dyDescent="0.2">
      <c r="A15" s="49"/>
      <c r="B15" s="268">
        <v>6</v>
      </c>
      <c r="C15" s="180"/>
      <c r="D15" s="180"/>
      <c r="E15" s="180"/>
      <c r="F15" s="181"/>
      <c r="G15" s="180"/>
      <c r="H15" s="180"/>
      <c r="I15" s="180"/>
      <c r="J15" s="180"/>
      <c r="K15" s="180"/>
      <c r="L15" s="182"/>
      <c r="M15" s="183"/>
      <c r="N15" s="183"/>
      <c r="P15" s="184"/>
      <c r="Q15" s="182"/>
      <c r="R15" s="182"/>
      <c r="S15" s="182"/>
      <c r="T15" s="182"/>
      <c r="U15" s="182"/>
      <c r="V15" s="182"/>
      <c r="W15" s="182"/>
      <c r="X15" s="182"/>
      <c r="Y15" s="182"/>
      <c r="Z15" s="265"/>
    </row>
    <row r="16" spans="1:26" s="43" customFormat="1" x14ac:dyDescent="0.2">
      <c r="A16" s="49"/>
      <c r="B16" s="264">
        <v>7</v>
      </c>
      <c r="C16" s="180"/>
      <c r="D16" s="180"/>
      <c r="E16" s="193"/>
      <c r="F16" s="181"/>
      <c r="G16" s="180"/>
      <c r="H16" s="180"/>
      <c r="I16" s="180"/>
      <c r="J16" s="180"/>
      <c r="K16" s="182"/>
      <c r="L16" s="183"/>
      <c r="M16" s="194"/>
      <c r="N16" s="193"/>
      <c r="O16" s="183"/>
      <c r="P16" s="184"/>
      <c r="Q16" s="182"/>
      <c r="R16" s="182"/>
      <c r="S16" s="182"/>
      <c r="T16" s="182"/>
      <c r="U16" s="182"/>
      <c r="V16" s="182"/>
      <c r="W16" s="182"/>
      <c r="X16" s="182"/>
      <c r="Y16" s="182"/>
      <c r="Z16" s="265"/>
    </row>
    <row r="17" spans="2:26" x14ac:dyDescent="0.2">
      <c r="B17" s="266">
        <v>8</v>
      </c>
      <c r="C17" s="185">
        <f>IF('1200Z'!$C$31="","",IF('1200Z'!$C$31&gt;=900,'1200Z'!$C$31,'1200Z'!$C$31+1000))</f>
        <v>1014.5</v>
      </c>
      <c r="D17" s="185">
        <f>IF('1200Z'!$C$37=1.6,"",IF('1200Z'!$C$37&gt;=900,'1200Z'!$C$37,'1200Z'!$C$37+1000))</f>
        <v>1016.1</v>
      </c>
      <c r="E17" s="186"/>
      <c r="F17" s="187" t="str">
        <f>MID('1200Z'!$F$10, 2, 1)</f>
        <v>2</v>
      </c>
      <c r="G17" s="188" t="str">
        <f>MID('1200Z'!$F$10, 3, 2)&amp;"."&amp;MID('1200Z'!$F$10, 5, 1)</f>
        <v>01.3</v>
      </c>
      <c r="H17" s="185" t="str">
        <f>'1200Z'!$A$29</f>
        <v>24.0</v>
      </c>
      <c r="I17" s="185">
        <f>'1200Z'!$A$33</f>
        <v>22</v>
      </c>
      <c r="J17" s="185">
        <f>'1200Z'!$B$29</f>
        <v>21.16622098226286</v>
      </c>
      <c r="K17" s="185">
        <f>'1200Z'!$B$33</f>
        <v>25.074889124166098</v>
      </c>
      <c r="L17" s="191">
        <f>'1200Z'!$B$37</f>
        <v>84.052134220232404</v>
      </c>
      <c r="M17" s="190">
        <f>IFERROR(SUM(MID('1200Z'!$B$10,2,2)*10),"")</f>
        <v>20</v>
      </c>
      <c r="N17" s="186">
        <v>1.6</v>
      </c>
      <c r="O17" s="195">
        <f>IF('1200Z'!$H$33="","",'1200Z'!$H$33)</f>
        <v>160</v>
      </c>
      <c r="P17" s="189" t="str">
        <f>FORMULAS!$M$3</f>
        <v>02</v>
      </c>
      <c r="Q17" s="192">
        <v>0</v>
      </c>
      <c r="R17" s="192">
        <v>0</v>
      </c>
      <c r="S17" s="192">
        <v>0</v>
      </c>
      <c r="T17" s="192">
        <v>0</v>
      </c>
      <c r="U17" s="192">
        <v>0</v>
      </c>
      <c r="V17" s="192">
        <v>0</v>
      </c>
      <c r="W17" s="192">
        <v>0</v>
      </c>
      <c r="X17" s="192">
        <v>0</v>
      </c>
      <c r="Y17" s="192">
        <v>0</v>
      </c>
      <c r="Z17" s="267">
        <v>0</v>
      </c>
    </row>
    <row r="18" spans="2:26" x14ac:dyDescent="0.2">
      <c r="B18" s="264">
        <v>9</v>
      </c>
      <c r="C18" s="180"/>
      <c r="D18" s="180"/>
      <c r="E18" s="180"/>
      <c r="F18" s="181"/>
      <c r="G18" s="180"/>
      <c r="H18" s="180"/>
      <c r="I18" s="180"/>
      <c r="J18" s="180"/>
      <c r="K18" s="182"/>
      <c r="L18" s="183"/>
      <c r="M18" s="194"/>
      <c r="N18" s="193"/>
      <c r="O18" s="183"/>
      <c r="P18" s="184"/>
      <c r="Q18" s="182"/>
      <c r="R18" s="182"/>
      <c r="S18" s="182"/>
      <c r="T18" s="182"/>
      <c r="U18" s="182"/>
      <c r="V18" s="182"/>
      <c r="W18" s="182"/>
      <c r="X18" s="182"/>
      <c r="Y18" s="182"/>
      <c r="Z18" s="265"/>
    </row>
    <row r="19" spans="2:26" x14ac:dyDescent="0.2">
      <c r="B19" s="264">
        <v>10</v>
      </c>
      <c r="C19" s="180"/>
      <c r="D19" s="180"/>
      <c r="E19" s="180"/>
      <c r="F19" s="181"/>
      <c r="G19" s="180"/>
      <c r="H19" s="180"/>
      <c r="I19" s="180"/>
      <c r="J19" s="180"/>
      <c r="K19" s="182"/>
      <c r="L19" s="183"/>
      <c r="M19" s="194"/>
      <c r="N19" s="193"/>
      <c r="O19" s="183"/>
      <c r="P19" s="184"/>
      <c r="Q19" s="182"/>
      <c r="R19" s="182"/>
      <c r="S19" s="182"/>
      <c r="T19" s="182"/>
      <c r="U19" s="182"/>
      <c r="V19" s="182"/>
      <c r="W19" s="182"/>
      <c r="X19" s="182"/>
      <c r="Y19" s="182"/>
      <c r="Z19" s="265"/>
    </row>
    <row r="20" spans="2:26" x14ac:dyDescent="0.2">
      <c r="B20" s="266">
        <v>11</v>
      </c>
      <c r="C20" s="185">
        <f>IF('1500Z'!$C$31="","",IF('1500Z'!$C$31&gt;=900,'1500Z'!$C$31,'1500Z'!$C$31+1000))</f>
        <v>1015.5</v>
      </c>
      <c r="D20" s="185">
        <f>IF('1500Z'!$C$37=1.6,"",IF('1500Z'!$C$37&gt;=900,'1500Z'!$C$37,'1500Z'!$C$37+1000))</f>
        <v>1017.1</v>
      </c>
      <c r="E20" s="186"/>
      <c r="F20" s="187" t="str">
        <f>MID('1500Z'!$F$10, 2, 1)</f>
        <v>2</v>
      </c>
      <c r="G20" s="188" t="str">
        <f>MID('1500Z'!$F$10, 3, 2)&amp;"."&amp;MID('1500Z'!$F$10, 5, 1)</f>
        <v>01.0</v>
      </c>
      <c r="H20" s="185" t="str">
        <f>'1500Z'!$A$29</f>
        <v>29.0</v>
      </c>
      <c r="I20" s="185">
        <f>'1500Z'!$A$33</f>
        <v>23.8</v>
      </c>
      <c r="J20" s="185">
        <f>'1500Z'!$B$29</f>
        <v>21.841838899119494</v>
      </c>
      <c r="K20" s="185">
        <f>'1500Z'!$B$33</f>
        <v>25.949729121661182</v>
      </c>
      <c r="L20" s="191">
        <f>'1500Z'!$B$37</f>
        <v>64.754308634883856</v>
      </c>
      <c r="M20" s="190">
        <f>IFERROR(SUM(MID('1500Z'!$B$10,2,2)*10),"")</f>
        <v>150</v>
      </c>
      <c r="N20" s="186">
        <v>2.2999999999999998</v>
      </c>
      <c r="O20" s="195">
        <f>IF('1500Z'!$H$33="","",'1500Z'!$H$33)</f>
        <v>160</v>
      </c>
      <c r="P20" s="189" t="str">
        <f>FORMULAS!$M$4</f>
        <v>01</v>
      </c>
      <c r="Q20" s="192">
        <v>0</v>
      </c>
      <c r="R20" s="192">
        <v>0</v>
      </c>
      <c r="S20" s="192">
        <v>0</v>
      </c>
      <c r="T20" s="192">
        <v>0</v>
      </c>
      <c r="U20" s="192">
        <v>0</v>
      </c>
      <c r="V20" s="192">
        <v>0</v>
      </c>
      <c r="W20" s="192">
        <v>0</v>
      </c>
      <c r="X20" s="192">
        <v>0</v>
      </c>
      <c r="Y20" s="192">
        <v>0</v>
      </c>
      <c r="Z20" s="267">
        <v>0</v>
      </c>
    </row>
    <row r="21" spans="2:26" x14ac:dyDescent="0.2">
      <c r="B21" s="264">
        <v>12</v>
      </c>
      <c r="C21" s="180"/>
      <c r="D21" s="180"/>
      <c r="E21" s="180"/>
      <c r="F21" s="181"/>
      <c r="G21" s="180"/>
      <c r="H21" s="180"/>
      <c r="I21" s="180"/>
      <c r="J21" s="180"/>
      <c r="K21" s="182"/>
      <c r="L21" s="183"/>
      <c r="M21" s="194"/>
      <c r="N21" s="193"/>
      <c r="O21" s="183"/>
      <c r="P21" s="184"/>
      <c r="Q21" s="182"/>
      <c r="R21" s="182"/>
      <c r="S21" s="182"/>
      <c r="T21" s="182"/>
      <c r="U21" s="182"/>
      <c r="V21" s="182"/>
      <c r="W21" s="182"/>
      <c r="X21" s="182"/>
      <c r="Y21" s="182"/>
      <c r="Z21" s="265"/>
    </row>
    <row r="22" spans="2:26" x14ac:dyDescent="0.2">
      <c r="B22" s="264">
        <v>13</v>
      </c>
      <c r="C22" s="180"/>
      <c r="D22" s="180"/>
      <c r="E22" s="180"/>
      <c r="F22" s="181"/>
      <c r="G22" s="180"/>
      <c r="H22" s="180"/>
      <c r="I22" s="180"/>
      <c r="J22" s="180"/>
      <c r="K22" s="182"/>
      <c r="L22" s="183"/>
      <c r="M22" s="194"/>
      <c r="N22" s="193"/>
      <c r="O22" s="183"/>
      <c r="P22" s="184"/>
      <c r="Q22" s="182"/>
      <c r="R22" s="182"/>
      <c r="S22" s="182"/>
      <c r="T22" s="182"/>
      <c r="U22" s="182"/>
      <c r="V22" s="182"/>
      <c r="W22" s="182"/>
      <c r="X22" s="182"/>
      <c r="Y22" s="182"/>
      <c r="Z22" s="265"/>
    </row>
    <row r="23" spans="2:26" x14ac:dyDescent="0.2">
      <c r="B23" s="266">
        <v>14</v>
      </c>
      <c r="C23" s="185">
        <f>IF('1800Z'!$C$31="","",IF('1800Z'!$C$31&gt;=900,'1800Z'!$C$31,'1800Z'!$C$31+1000))</f>
        <v>1013.8</v>
      </c>
      <c r="D23" s="185">
        <f>IF('1800Z'!$C$37=1.6,"",IF('1800Z'!$C$37&gt;=900,'1800Z'!$C$37,'1800Z'!$C$37+1000))</f>
        <v>1015.4</v>
      </c>
      <c r="E23" s="186"/>
      <c r="F23" s="187" t="str">
        <f>MID('1800Z'!$F$10, 2, 1)</f>
        <v>7</v>
      </c>
      <c r="G23" s="188" t="str">
        <f>MID('1800Z'!$F$10, 3, 2)&amp;"."&amp;MID('1800Z'!$F$10, 5, 1)</f>
        <v>01.5</v>
      </c>
      <c r="H23" s="185" t="str">
        <f>'1800Z'!$A$29</f>
        <v>30.6</v>
      </c>
      <c r="I23" s="185">
        <f>'1800Z'!$A$33</f>
        <v>24.8</v>
      </c>
      <c r="J23" s="185">
        <f>'1800Z'!$B$29</f>
        <v>22.718649417905155</v>
      </c>
      <c r="K23" s="185">
        <f>'1800Z'!$B$33</f>
        <v>27.361008686216181</v>
      </c>
      <c r="L23" s="191">
        <f>'1800Z'!$B$37</f>
        <v>62.264414907642553</v>
      </c>
      <c r="M23" s="190">
        <f>IFERROR(SUM(MID('1800Z'!$B$10,2,2)*10),"")</f>
        <v>130</v>
      </c>
      <c r="N23" s="186">
        <v>4.3</v>
      </c>
      <c r="O23" s="195">
        <f>IF('1800Z'!$H$33="","",'1800Z'!$H$33)</f>
        <v>160</v>
      </c>
      <c r="P23" s="189" t="str">
        <f>FORMULAS!$M$5</f>
        <v>03</v>
      </c>
      <c r="Q23" s="192">
        <v>0</v>
      </c>
      <c r="R23" s="192">
        <v>0</v>
      </c>
      <c r="S23" s="192">
        <v>0</v>
      </c>
      <c r="T23" s="192">
        <v>0</v>
      </c>
      <c r="U23" s="192">
        <v>0</v>
      </c>
      <c r="V23" s="192">
        <v>0</v>
      </c>
      <c r="W23" s="192">
        <v>0</v>
      </c>
      <c r="X23" s="192">
        <v>0</v>
      </c>
      <c r="Y23" s="192">
        <v>0</v>
      </c>
      <c r="Z23" s="267">
        <v>0</v>
      </c>
    </row>
    <row r="24" spans="2:26" x14ac:dyDescent="0.2">
      <c r="B24" s="264">
        <v>15</v>
      </c>
      <c r="C24" s="180"/>
      <c r="D24" s="180"/>
      <c r="E24" s="180"/>
      <c r="F24" s="181"/>
      <c r="G24" s="180"/>
      <c r="H24" s="180"/>
      <c r="I24" s="180"/>
      <c r="J24" s="180"/>
      <c r="K24" s="182"/>
      <c r="L24" s="183"/>
      <c r="M24" s="194"/>
      <c r="N24" s="193"/>
      <c r="O24" s="183"/>
      <c r="P24" s="184"/>
      <c r="Q24" s="182"/>
      <c r="R24" s="182"/>
      <c r="S24" s="182"/>
      <c r="T24" s="182"/>
      <c r="U24" s="182"/>
      <c r="V24" s="182"/>
      <c r="W24" s="182"/>
      <c r="X24" s="182"/>
      <c r="Y24" s="182"/>
      <c r="Z24" s="265"/>
    </row>
    <row r="25" spans="2:26" x14ac:dyDescent="0.2">
      <c r="B25" s="264">
        <v>16</v>
      </c>
      <c r="C25" s="180"/>
      <c r="D25" s="180"/>
      <c r="E25" s="180"/>
      <c r="F25" s="181"/>
      <c r="G25" s="180"/>
      <c r="H25" s="180"/>
      <c r="I25" s="180"/>
      <c r="J25" s="180"/>
      <c r="K25" s="182"/>
      <c r="L25" s="183"/>
      <c r="M25" s="194"/>
      <c r="N25" s="193"/>
      <c r="O25" s="183"/>
      <c r="P25" s="184"/>
      <c r="Q25" s="182"/>
      <c r="R25" s="182"/>
      <c r="S25" s="182"/>
      <c r="T25" s="182"/>
      <c r="U25" s="182"/>
      <c r="V25" s="182"/>
      <c r="W25" s="182"/>
      <c r="X25" s="182"/>
      <c r="Y25" s="182"/>
      <c r="Z25" s="265"/>
    </row>
    <row r="26" spans="2:26" x14ac:dyDescent="0.2">
      <c r="B26" s="266">
        <v>17</v>
      </c>
      <c r="C26" s="185">
        <f>IF('2100Z'!$C$31="","",IF('2100Z'!$C$31&gt;=900,'2100Z'!$C$31,'2100Z'!$C$31+1000))</f>
        <v>1012.5</v>
      </c>
      <c r="D26" s="185">
        <f>IF('2100Z'!$C$37=1.6,"",IF('2100Z'!$C$37&gt;=900,'2100Z'!$C$37,'2100Z'!$C$37+1000))</f>
        <v>1014.1</v>
      </c>
      <c r="E26" s="186"/>
      <c r="F26" s="187" t="str">
        <f>MID('2100Z'!$F$10, 2, 1)</f>
        <v>7</v>
      </c>
      <c r="G26" s="188" t="str">
        <f>MID('2100Z'!$F$10, 3, 2)&amp;"."&amp;MID('2100Z'!$F$10, 5, 1)</f>
        <v>01.3</v>
      </c>
      <c r="H26" s="185" t="str">
        <f>'2100Z'!$A$29</f>
        <v>29.0</v>
      </c>
      <c r="I26" s="185">
        <f>'2100Z'!$A$33</f>
        <v>24.4</v>
      </c>
      <c r="J26" s="185">
        <f>'2100Z'!$B$29</f>
        <v>22.749623000401431</v>
      </c>
      <c r="K26" s="185">
        <f>'2100Z'!$B$33</f>
        <v>27.43648094177933</v>
      </c>
      <c r="L26" s="191">
        <f>'2100Z'!$B$37</f>
        <v>68.464312148679412</v>
      </c>
      <c r="M26" s="190">
        <f>IFERROR(SUM(MID('2100Z'!$B$10,2,2)*10),"")</f>
        <v>120</v>
      </c>
      <c r="N26" s="186">
        <v>3.6</v>
      </c>
      <c r="O26" s="195">
        <f>IF('2100Z'!$H$33="","",'2100Z'!$H$33)</f>
        <v>160</v>
      </c>
      <c r="P26" s="189" t="str">
        <f>FORMULAS!$M$6</f>
        <v>02</v>
      </c>
      <c r="Q26" s="192">
        <v>0</v>
      </c>
      <c r="R26" s="192">
        <v>0</v>
      </c>
      <c r="S26" s="192">
        <v>0</v>
      </c>
      <c r="T26" s="192">
        <v>0</v>
      </c>
      <c r="U26" s="192">
        <v>0</v>
      </c>
      <c r="V26" s="192">
        <v>0</v>
      </c>
      <c r="W26" s="192">
        <v>0</v>
      </c>
      <c r="X26" s="192">
        <v>0</v>
      </c>
      <c r="Y26" s="192">
        <v>0</v>
      </c>
      <c r="Z26" s="267">
        <v>0</v>
      </c>
    </row>
    <row r="27" spans="2:26" x14ac:dyDescent="0.2">
      <c r="B27" s="264">
        <v>18</v>
      </c>
      <c r="C27" s="180"/>
      <c r="D27" s="180"/>
      <c r="E27" s="180"/>
      <c r="F27" s="181"/>
      <c r="G27" s="180"/>
      <c r="H27" s="180"/>
      <c r="I27" s="180"/>
      <c r="J27" s="180"/>
      <c r="K27" s="182"/>
      <c r="L27" s="183"/>
      <c r="M27" s="194"/>
      <c r="N27" s="193"/>
      <c r="O27" s="183"/>
      <c r="P27" s="184"/>
      <c r="Q27" s="182"/>
      <c r="R27" s="182"/>
      <c r="S27" s="182"/>
      <c r="T27" s="182"/>
      <c r="U27" s="182"/>
      <c r="V27" s="182"/>
      <c r="W27" s="182"/>
      <c r="X27" s="182"/>
      <c r="Y27" s="182"/>
      <c r="Z27" s="265"/>
    </row>
    <row r="28" spans="2:26" x14ac:dyDescent="0.2">
      <c r="B28" s="264">
        <v>19</v>
      </c>
      <c r="C28" s="180"/>
      <c r="D28" s="180"/>
      <c r="E28" s="180"/>
      <c r="F28" s="181"/>
      <c r="G28" s="180"/>
      <c r="H28" s="180"/>
      <c r="I28" s="180"/>
      <c r="J28" s="180"/>
      <c r="K28" s="182"/>
      <c r="L28" s="183"/>
      <c r="M28" s="194"/>
      <c r="N28" s="193"/>
      <c r="O28" s="183"/>
      <c r="P28" s="184"/>
      <c r="Q28" s="182"/>
      <c r="R28" s="182"/>
      <c r="S28" s="182"/>
      <c r="T28" s="182"/>
      <c r="U28" s="182"/>
      <c r="V28" s="182"/>
      <c r="W28" s="182"/>
      <c r="X28" s="182"/>
      <c r="Y28" s="182"/>
      <c r="Z28" s="265"/>
    </row>
    <row r="29" spans="2:26" x14ac:dyDescent="0.2">
      <c r="B29" s="266">
        <v>20</v>
      </c>
      <c r="C29" s="185">
        <f>IF('0000Z'!$C$31="","",IF('0000Z'!$C$31&gt;=900,'0000Z'!$C$31,'0000Z'!$C$31+1000))</f>
        <v>1014</v>
      </c>
      <c r="D29" s="185">
        <f>IF('0000Z'!$C$37=1.6,"",IF('0000Z'!$C$37&gt;=900,'0000Z'!$C$37,'0000Z'!$C$37+1000))</f>
        <v>1015.6</v>
      </c>
      <c r="E29" s="186"/>
      <c r="F29" s="187" t="str">
        <f>MID('0000Z'!$F$10, 2, 1)</f>
        <v>2</v>
      </c>
      <c r="G29" s="188" t="str">
        <f>MID('0000Z'!$F$10, 3, 2)&amp;"."&amp;MID('0000Z'!$F$10, 5, 1)</f>
        <v>01.5</v>
      </c>
      <c r="H29" s="185">
        <f>'0000Z'!$A$29</f>
        <v>27.2</v>
      </c>
      <c r="I29" s="185">
        <f>'0000Z'!$A$33</f>
        <v>23.6</v>
      </c>
      <c r="J29" s="185">
        <f>'0000Z'!$B$29</f>
        <v>22.258227272543486</v>
      </c>
      <c r="K29" s="185">
        <f>'0000Z'!$B$33</f>
        <v>26.682042630153266</v>
      </c>
      <c r="L29" s="191">
        <f>'0000Z'!$B$37</f>
        <v>73.952362431188007</v>
      </c>
      <c r="M29" s="190">
        <f>IFERROR(SUM(MID('0000Z'!$B$10,2,2)*10),"")</f>
        <v>120</v>
      </c>
      <c r="N29" s="186">
        <v>3</v>
      </c>
      <c r="O29" s="195">
        <f>IF('0000Z'!$H$33="","",'0000Z'!$H$33)</f>
        <v>160</v>
      </c>
      <c r="P29" s="189" t="str">
        <f>FORMULAS!$M$7</f>
        <v>01</v>
      </c>
      <c r="Q29" s="192">
        <v>0</v>
      </c>
      <c r="R29" s="192">
        <v>0</v>
      </c>
      <c r="S29" s="192">
        <v>0</v>
      </c>
      <c r="T29" s="192">
        <v>0</v>
      </c>
      <c r="U29" s="192">
        <v>0</v>
      </c>
      <c r="V29" s="192">
        <v>0</v>
      </c>
      <c r="W29" s="192">
        <v>0</v>
      </c>
      <c r="X29" s="192">
        <v>0</v>
      </c>
      <c r="Y29" s="192">
        <v>0</v>
      </c>
      <c r="Z29" s="267">
        <v>0</v>
      </c>
    </row>
    <row r="30" spans="2:26" x14ac:dyDescent="0.2">
      <c r="B30" s="264">
        <v>21</v>
      </c>
      <c r="C30" s="180"/>
      <c r="D30" s="180"/>
      <c r="E30" s="180"/>
      <c r="F30" s="181"/>
      <c r="G30" s="180"/>
      <c r="H30" s="180"/>
      <c r="I30" s="180"/>
      <c r="J30" s="180"/>
      <c r="K30" s="182"/>
      <c r="L30" s="183"/>
      <c r="M30" s="194"/>
      <c r="N30" s="193"/>
      <c r="O30" s="183"/>
      <c r="P30" s="184"/>
      <c r="Q30" s="182"/>
      <c r="R30" s="182"/>
      <c r="S30" s="182"/>
      <c r="T30" s="182"/>
      <c r="U30" s="182"/>
      <c r="V30" s="182"/>
      <c r="W30" s="182"/>
      <c r="X30" s="182"/>
      <c r="Y30" s="182"/>
      <c r="Z30" s="265"/>
    </row>
    <row r="31" spans="2:26" x14ac:dyDescent="0.2">
      <c r="B31" s="264">
        <v>22</v>
      </c>
      <c r="C31" s="180"/>
      <c r="D31" s="180"/>
      <c r="E31" s="180"/>
      <c r="F31" s="181"/>
      <c r="G31" s="180"/>
      <c r="H31" s="180"/>
      <c r="I31" s="180"/>
      <c r="J31" s="180"/>
      <c r="K31" s="182"/>
      <c r="L31" s="183"/>
      <c r="M31" s="194"/>
      <c r="N31" s="193"/>
      <c r="O31" s="183"/>
      <c r="P31" s="184"/>
      <c r="Q31" s="182"/>
      <c r="R31" s="182"/>
      <c r="S31" s="182"/>
      <c r="T31" s="182"/>
      <c r="U31" s="182"/>
      <c r="V31" s="182"/>
      <c r="W31" s="182"/>
      <c r="X31" s="182"/>
      <c r="Y31" s="182"/>
      <c r="Z31" s="265"/>
    </row>
    <row r="32" spans="2:26" x14ac:dyDescent="0.2">
      <c r="B32" s="266">
        <v>23</v>
      </c>
      <c r="C32" s="185">
        <f>IF('0003Z'!$C$31="","",IF('0003Z'!$C$31&gt;=900,'0003Z'!$C$31,'0003Z'!$C$31+1000))</f>
        <v>1015</v>
      </c>
      <c r="D32" s="185">
        <f>IF('0003Z'!$C$37=1.6,"",IF('0003Z'!$C$37&gt;=900,'0003Z'!$C$37,'0003Z'!$C$37+1000))</f>
        <v>1016.6</v>
      </c>
      <c r="E32" s="186"/>
      <c r="F32" s="187" t="str">
        <f>MID('0003Z'!$F$10, 2, 1)</f>
        <v>2</v>
      </c>
      <c r="G32" s="188" t="str">
        <f>MID('0003Z'!$F$10, 3, 2)&amp;"."&amp;MID('0003Z'!$F$10, 5, 1)</f>
        <v>01.0</v>
      </c>
      <c r="H32" s="185" t="str">
        <f>'0003Z'!$A$29</f>
        <v>26.2</v>
      </c>
      <c r="I32" s="185">
        <f>'0003Z'!$A$33</f>
        <v>22.6</v>
      </c>
      <c r="J32" s="185">
        <f>'0003Z'!$B$29</f>
        <v>21.175991394175391</v>
      </c>
      <c r="K32" s="185">
        <f>'0003Z'!$B$33</f>
        <v>24.974102789247688</v>
      </c>
      <c r="L32" s="191">
        <f>'0003Z'!$B$37</f>
        <v>73.420545619242603</v>
      </c>
      <c r="M32" s="190">
        <f>IFERROR(SUM(MID('0003Z'!B10,2,2)*10),"")</f>
        <v>90</v>
      </c>
      <c r="N32" s="186">
        <v>3.3</v>
      </c>
      <c r="O32" s="195">
        <f>IF('0003Z'!$H$33="","",'0003Z'!$H$33)</f>
        <v>160</v>
      </c>
      <c r="P32" s="189" t="str">
        <f>FORMULAS!$M$8</f>
        <v>01</v>
      </c>
      <c r="Q32" s="192">
        <v>0</v>
      </c>
      <c r="R32" s="192">
        <v>0</v>
      </c>
      <c r="S32" s="192">
        <v>0</v>
      </c>
      <c r="T32" s="192">
        <v>0</v>
      </c>
      <c r="U32" s="192">
        <v>0</v>
      </c>
      <c r="V32" s="192">
        <v>0</v>
      </c>
      <c r="W32" s="192">
        <v>0</v>
      </c>
      <c r="X32" s="192">
        <v>0</v>
      </c>
      <c r="Y32" s="192">
        <v>0</v>
      </c>
      <c r="Z32" s="267">
        <v>0</v>
      </c>
    </row>
    <row r="33" spans="2:26" x14ac:dyDescent="0.2">
      <c r="B33" s="264">
        <v>24</v>
      </c>
      <c r="C33" s="180"/>
      <c r="D33" s="180"/>
      <c r="E33" s="193"/>
      <c r="F33" s="181"/>
      <c r="G33" s="180"/>
      <c r="H33" s="180"/>
      <c r="I33" s="180"/>
      <c r="J33" s="180"/>
      <c r="K33" s="182"/>
      <c r="L33" s="183"/>
      <c r="M33" s="194"/>
      <c r="N33" s="193"/>
      <c r="O33" s="183"/>
      <c r="P33" s="184"/>
      <c r="Q33" s="182"/>
      <c r="R33" s="182"/>
      <c r="S33" s="182"/>
      <c r="T33" s="182"/>
      <c r="U33" s="182"/>
      <c r="V33" s="182"/>
      <c r="W33" s="182"/>
      <c r="X33" s="182"/>
      <c r="Y33" s="182"/>
      <c r="Z33" s="265"/>
    </row>
    <row r="34" spans="2:26" ht="15" hidden="1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196"/>
    </row>
    <row r="35" spans="2:26" ht="15" hidden="1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196"/>
    </row>
    <row r="36" spans="2:26" ht="15.75" hidden="1" thickBot="1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 s="197"/>
    </row>
    <row r="40" spans="2:26" ht="15" hidden="1" x14ac:dyDescent="0.25">
      <c r="D40"/>
      <c r="E40"/>
      <c r="F40"/>
      <c r="G40"/>
      <c r="H40"/>
      <c r="I40"/>
    </row>
    <row r="41" spans="2:26" ht="15" hidden="1" x14ac:dyDescent="0.25">
      <c r="D41"/>
      <c r="E41"/>
      <c r="F41"/>
      <c r="G41"/>
      <c r="H41"/>
      <c r="I41"/>
    </row>
  </sheetData>
  <sheetProtection algorithmName="SHA-512" hashValue="FCITG+aHpsbJI5nKROpN7gh0y80arqAWipqTlaVMNSrQi22rXFb9U/20pYcKu/QrKxSCT7DjjyYdJscOaau7sw==" saltValue="HRDZivpejfL7E/MoN9Advw==" spinCount="100000" sheet="1" formatCells="0" selectLockedCells="1"/>
  <mergeCells count="41">
    <mergeCell ref="M2:O2"/>
    <mergeCell ref="N4:P4"/>
    <mergeCell ref="P2:V2"/>
    <mergeCell ref="W2:Y2"/>
    <mergeCell ref="T3:U3"/>
    <mergeCell ref="W3:X3"/>
    <mergeCell ref="Q3:S4"/>
    <mergeCell ref="Z8:Z9"/>
    <mergeCell ref="Q7:Z7"/>
    <mergeCell ref="O7:O8"/>
    <mergeCell ref="P7:P9"/>
    <mergeCell ref="M7:N7"/>
    <mergeCell ref="X8:X9"/>
    <mergeCell ref="E8:E9"/>
    <mergeCell ref="F8:G8"/>
    <mergeCell ref="H8:I8"/>
    <mergeCell ref="B2:J2"/>
    <mergeCell ref="B5:J6"/>
    <mergeCell ref="B3:J4"/>
    <mergeCell ref="B7:B9"/>
    <mergeCell ref="C7:G7"/>
    <mergeCell ref="H7:I7"/>
    <mergeCell ref="C8:C9"/>
    <mergeCell ref="D8:D9"/>
    <mergeCell ref="J7:L7"/>
    <mergeCell ref="K5:L5"/>
    <mergeCell ref="K2:L2"/>
    <mergeCell ref="K3:L4"/>
    <mergeCell ref="M5:N5"/>
    <mergeCell ref="W8:W9"/>
    <mergeCell ref="Q8:Q9"/>
    <mergeCell ref="R8:R9"/>
    <mergeCell ref="S8:S9"/>
    <mergeCell ref="S5:T5"/>
    <mergeCell ref="U5:Y5"/>
    <mergeCell ref="Q5:R5"/>
    <mergeCell ref="Y8:Y9"/>
    <mergeCell ref="T8:T9"/>
    <mergeCell ref="U8:U9"/>
    <mergeCell ref="V8:V9"/>
    <mergeCell ref="Q6:R6"/>
  </mergeCells>
  <pageMargins left="0.59055118110236227" right="0.19685039370078741" top="0.23622047244094491" bottom="0.19685039370078741" header="0.23622047244094491" footer="0.19685039370078741"/>
  <pageSetup scale="108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31" r:id="rId4" name="Button 15">
              <controlPr defaultSize="0" print="0" autoFill="0" autoPict="0" macro="[0]!BorrarDatos">
                <anchor moveWithCells="1" sizeWithCells="1">
                  <from>
                    <xdr:col>16383</xdr:col>
                    <xdr:colOff>0</xdr:colOff>
                    <xdr:row>1048575</xdr:row>
                    <xdr:rowOff>0</xdr:rowOff>
                  </from>
                  <to>
                    <xdr:col>16383</xdr:col>
                    <xdr:colOff>0</xdr:colOff>
                    <xdr:row>1048575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5" name="Button 17">
              <controlPr defaultSize="0" print="0" autoFill="0" autoPict="0" macro="[0]!BorrarDatos">
                <anchor moveWithCells="1" sizeWithCells="1">
                  <from>
                    <xdr:col>16383</xdr:col>
                    <xdr:colOff>0</xdr:colOff>
                    <xdr:row>1048575</xdr:row>
                    <xdr:rowOff>0</xdr:rowOff>
                  </from>
                  <to>
                    <xdr:col>16383</xdr:col>
                    <xdr:colOff>0</xdr:colOff>
                    <xdr:row>1048575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theme="5"/>
  </sheetPr>
  <dimension ref="A1:BS36"/>
  <sheetViews>
    <sheetView showGridLines="0" showRowColHeaders="0" zoomScale="115" zoomScaleNormal="115" zoomScaleSheetLayoutView="100" workbookViewId="0">
      <selection activeCell="Z32" sqref="Z32"/>
    </sheetView>
  </sheetViews>
  <sheetFormatPr baseColWidth="10" defaultColWidth="0" defaultRowHeight="12.75" zeroHeight="1" x14ac:dyDescent="0.2"/>
  <cols>
    <col min="1" max="1" width="0.28515625" style="51" customWidth="1"/>
    <col min="2" max="2" width="3.28515625" style="53" customWidth="1"/>
    <col min="3" max="3" width="2.5703125" style="51" customWidth="1"/>
    <col min="4" max="4" width="3" style="51" customWidth="1"/>
    <col min="5" max="5" width="2.5703125" style="51" customWidth="1"/>
    <col min="6" max="6" width="8.28515625" style="51" customWidth="1"/>
    <col min="7" max="9" width="2.5703125" style="51" customWidth="1"/>
    <col min="10" max="10" width="7.42578125" style="51" customWidth="1"/>
    <col min="11" max="14" width="2.5703125" style="51" customWidth="1"/>
    <col min="15" max="15" width="7.42578125" style="51" customWidth="1"/>
    <col min="16" max="17" width="2.5703125" style="51" customWidth="1"/>
    <col min="18" max="18" width="3" style="51" customWidth="1"/>
    <col min="19" max="19" width="2.5703125" style="51" customWidth="1"/>
    <col min="20" max="20" width="6.28515625" style="51" customWidth="1"/>
    <col min="21" max="21" width="2.5703125" style="51" customWidth="1"/>
    <col min="22" max="22" width="7.28515625" style="51" customWidth="1"/>
    <col min="23" max="24" width="5.28515625" style="51" customWidth="1"/>
    <col min="25" max="25" width="6.5703125" style="51" customWidth="1"/>
    <col min="26" max="26" width="6" style="51" customWidth="1"/>
    <col min="27" max="27" width="0.5703125" style="51" customWidth="1"/>
    <col min="28" max="36" width="2.42578125" style="51" customWidth="1"/>
    <col min="37" max="16384" width="2.42578125" style="51" hidden="1"/>
  </cols>
  <sheetData>
    <row r="1" spans="2:71" ht="3.75" customHeight="1" x14ac:dyDescent="0.2"/>
    <row r="2" spans="2:71" ht="16.5" x14ac:dyDescent="0.25">
      <c r="B2" s="405" t="s">
        <v>302</v>
      </c>
      <c r="C2" s="406"/>
      <c r="D2" s="406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7" t="s">
        <v>306</v>
      </c>
      <c r="Q2" s="408"/>
      <c r="R2" s="408"/>
      <c r="S2" s="410" t="str">
        <f>IF(Y2="","",VLOOKUP(Y2,FORMULAS!O:T,2,FALSE))</f>
        <v>Central</v>
      </c>
      <c r="T2" s="410"/>
      <c r="U2" s="410"/>
      <c r="V2" s="410"/>
      <c r="W2" s="409" t="s">
        <v>342</v>
      </c>
      <c r="X2" s="409"/>
      <c r="Y2" s="388">
        <f>IF('0006Z'!C8="","",'0006Z'!C8)</f>
        <v>78486</v>
      </c>
      <c r="Z2" s="389"/>
    </row>
    <row r="3" spans="2:71" ht="15.75" x14ac:dyDescent="0.25">
      <c r="B3" s="401" t="s">
        <v>303</v>
      </c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P3" s="390" t="s">
        <v>308</v>
      </c>
      <c r="Q3" s="391"/>
      <c r="R3" s="276" t="str">
        <f>IF(Y2="","",LEFT(VLOOKUP(Y2,FORMULAS!O:T,4,FALSE),2))</f>
        <v>18</v>
      </c>
      <c r="S3" s="269" t="s">
        <v>253</v>
      </c>
      <c r="T3" s="273" t="str">
        <f>IF(Y2="","",MID(TEXT(VLOOKUP(Y2,FORMULAS!O:T,4,FALSE),"0.0000"),4,2))&amp;"''"</f>
        <v>47''</v>
      </c>
      <c r="U3" s="199" t="s">
        <v>171</v>
      </c>
      <c r="V3" s="251" t="s">
        <v>343</v>
      </c>
      <c r="W3" s="275" t="str">
        <f>IF(Y2="","",LEFT(ABS(VLOOKUP(Y2,FORMULAS!O:T,5,FALSE)),2))</f>
        <v>69</v>
      </c>
      <c r="X3" s="254" t="s">
        <v>253</v>
      </c>
      <c r="Y3" s="273" t="str">
        <f>IF(Y2="","",MID(TEXT(ABS(VLOOKUP(Y2,FORMULAS!O:T,5,FALSE)),"0.0000"),4,2))&amp;"''"</f>
        <v>87''</v>
      </c>
      <c r="Z3" s="270" t="s">
        <v>291</v>
      </c>
    </row>
    <row r="4" spans="2:71" ht="15.75" x14ac:dyDescent="0.25">
      <c r="B4" s="403"/>
      <c r="C4" s="404"/>
      <c r="D4" s="404"/>
      <c r="E4" s="404"/>
      <c r="F4" s="404"/>
      <c r="G4" s="404"/>
      <c r="H4" s="404"/>
      <c r="I4" s="404"/>
      <c r="J4" s="404"/>
      <c r="K4" s="404"/>
      <c r="L4" s="404"/>
      <c r="M4" s="404"/>
      <c r="N4" s="404"/>
      <c r="O4" s="404"/>
      <c r="P4" s="390" t="s">
        <v>304</v>
      </c>
      <c r="Q4" s="391"/>
      <c r="R4" s="391"/>
      <c r="S4" s="400">
        <f>IF(Y2="","",VLOOKUP(Y2,FORMULAS!O:T,6,FALSE))</f>
        <v>14</v>
      </c>
      <c r="T4" s="400"/>
      <c r="U4" s="218" t="s">
        <v>227</v>
      </c>
      <c r="V4" s="251" t="s">
        <v>293</v>
      </c>
      <c r="W4" s="313">
        <v>1</v>
      </c>
      <c r="X4" s="251" t="s">
        <v>305</v>
      </c>
      <c r="Y4" s="277" t="s">
        <v>349</v>
      </c>
      <c r="Z4" s="174"/>
    </row>
    <row r="5" spans="2:71" x14ac:dyDescent="0.2">
      <c r="B5" s="418" t="s">
        <v>297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1"/>
      <c r="N5" s="351"/>
      <c r="O5" s="351"/>
      <c r="P5" s="220"/>
      <c r="Q5" s="198"/>
      <c r="R5" s="198"/>
      <c r="S5" s="198"/>
      <c r="T5" s="198"/>
      <c r="U5" s="198"/>
      <c r="V5" s="251" t="s">
        <v>307</v>
      </c>
      <c r="W5" s="277">
        <v>2026</v>
      </c>
      <c r="X5" s="198"/>
      <c r="Y5" s="198"/>
      <c r="Z5" s="221"/>
    </row>
    <row r="6" spans="2:71" x14ac:dyDescent="0.2">
      <c r="B6" s="419"/>
      <c r="C6" s="354"/>
      <c r="D6" s="354"/>
      <c r="E6" s="354"/>
      <c r="F6" s="354"/>
      <c r="G6" s="354"/>
      <c r="H6" s="354"/>
      <c r="I6" s="354"/>
      <c r="J6" s="354"/>
      <c r="K6" s="354"/>
      <c r="L6" s="354"/>
      <c r="M6" s="354"/>
      <c r="N6" s="354"/>
      <c r="O6" s="354"/>
      <c r="P6" s="222"/>
      <c r="Q6" s="219"/>
      <c r="R6" s="219"/>
      <c r="S6" s="219"/>
      <c r="T6" s="219"/>
      <c r="U6" s="219"/>
      <c r="V6" s="219"/>
      <c r="W6" s="219"/>
      <c r="X6" s="219"/>
      <c r="Y6" s="219"/>
      <c r="Z6" s="223"/>
    </row>
    <row r="7" spans="2:71" s="49" customFormat="1" x14ac:dyDescent="0.2">
      <c r="B7" s="414" t="s">
        <v>153</v>
      </c>
      <c r="C7" s="392" t="s">
        <v>171</v>
      </c>
      <c r="D7" s="420" t="s">
        <v>170</v>
      </c>
      <c r="E7" s="421"/>
      <c r="F7" s="421"/>
      <c r="G7" s="384" t="s">
        <v>169</v>
      </c>
      <c r="H7" s="385"/>
      <c r="I7" s="385"/>
      <c r="J7" s="385"/>
      <c r="K7" s="398" t="s">
        <v>166</v>
      </c>
      <c r="L7" s="384" t="s">
        <v>168</v>
      </c>
      <c r="M7" s="385"/>
      <c r="N7" s="385"/>
      <c r="O7" s="385"/>
      <c r="P7" s="399" t="s">
        <v>166</v>
      </c>
      <c r="Q7" s="416" t="s">
        <v>167</v>
      </c>
      <c r="R7" s="417"/>
      <c r="S7" s="417"/>
      <c r="T7" s="417"/>
      <c r="U7" s="399" t="s">
        <v>166</v>
      </c>
      <c r="V7" s="416" t="s">
        <v>165</v>
      </c>
      <c r="W7" s="417"/>
      <c r="X7" s="417"/>
      <c r="Y7" s="417"/>
      <c r="Z7" s="412" t="s">
        <v>309</v>
      </c>
      <c r="AA7" s="50"/>
    </row>
    <row r="8" spans="2:71" s="49" customFormat="1" ht="23.25" customHeight="1" x14ac:dyDescent="0.25">
      <c r="B8" s="415"/>
      <c r="C8" s="393"/>
      <c r="D8" s="396" t="s">
        <v>164</v>
      </c>
      <c r="E8" s="396" t="s">
        <v>163</v>
      </c>
      <c r="F8" s="422" t="s">
        <v>250</v>
      </c>
      <c r="G8" s="396" t="s">
        <v>164</v>
      </c>
      <c r="H8" s="396" t="s">
        <v>163</v>
      </c>
      <c r="I8" s="394" t="s">
        <v>162</v>
      </c>
      <c r="J8" s="422" t="s">
        <v>250</v>
      </c>
      <c r="K8" s="399"/>
      <c r="L8" s="396" t="s">
        <v>164</v>
      </c>
      <c r="M8" s="396" t="s">
        <v>163</v>
      </c>
      <c r="N8" s="394" t="s">
        <v>162</v>
      </c>
      <c r="O8" s="386" t="s">
        <v>318</v>
      </c>
      <c r="P8" s="399"/>
      <c r="Q8" s="396" t="s">
        <v>164</v>
      </c>
      <c r="R8" s="396" t="s">
        <v>163</v>
      </c>
      <c r="S8" s="394" t="s">
        <v>162</v>
      </c>
      <c r="T8" s="422" t="s">
        <v>249</v>
      </c>
      <c r="U8" s="399"/>
      <c r="V8" s="224" t="s">
        <v>248</v>
      </c>
      <c r="W8" s="426" t="s">
        <v>247</v>
      </c>
      <c r="X8" s="427"/>
      <c r="Y8" s="424" t="s">
        <v>161</v>
      </c>
      <c r="Z8" s="412"/>
      <c r="AA8" s="50"/>
      <c r="AC8" s="411"/>
      <c r="AD8" s="411"/>
      <c r="AE8" s="411"/>
      <c r="AU8" s="166"/>
      <c r="AV8" s="166"/>
      <c r="AW8" s="166"/>
      <c r="AX8" s="166"/>
      <c r="AY8" s="166"/>
      <c r="AZ8" s="169"/>
      <c r="BA8" s="169"/>
      <c r="BB8" s="169"/>
      <c r="BC8" s="169"/>
      <c r="BD8" s="169"/>
      <c r="BE8" s="169"/>
      <c r="BF8" s="169"/>
      <c r="BG8" s="169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</row>
    <row r="9" spans="2:71" s="49" customFormat="1" x14ac:dyDescent="0.2">
      <c r="B9" s="415"/>
      <c r="C9" s="393"/>
      <c r="D9" s="397"/>
      <c r="E9" s="397"/>
      <c r="F9" s="423"/>
      <c r="G9" s="397"/>
      <c r="H9" s="397"/>
      <c r="I9" s="395"/>
      <c r="J9" s="423"/>
      <c r="K9" s="399"/>
      <c r="L9" s="397"/>
      <c r="M9" s="397"/>
      <c r="N9" s="395"/>
      <c r="O9" s="387"/>
      <c r="P9" s="399"/>
      <c r="Q9" s="397"/>
      <c r="R9" s="397"/>
      <c r="S9" s="395"/>
      <c r="T9" s="423"/>
      <c r="U9" s="399"/>
      <c r="V9" s="225" t="s">
        <v>246</v>
      </c>
      <c r="W9" s="225" t="s">
        <v>160</v>
      </c>
      <c r="X9" s="226" t="s">
        <v>159</v>
      </c>
      <c r="Y9" s="425"/>
      <c r="Z9" s="413"/>
      <c r="AA9" s="50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</row>
    <row r="10" spans="2:71" x14ac:dyDescent="0.2">
      <c r="B10" s="201">
        <v>1</v>
      </c>
      <c r="C10" s="202"/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4"/>
      <c r="W10" s="204"/>
      <c r="X10" s="204"/>
      <c r="Y10" s="203"/>
      <c r="Z10" s="203"/>
      <c r="AA10" s="163"/>
      <c r="AU10" s="166"/>
      <c r="AV10" s="166"/>
      <c r="AW10" s="169"/>
      <c r="AX10" s="169"/>
      <c r="AY10" s="49"/>
      <c r="AZ10" s="170"/>
      <c r="BA10" s="170"/>
      <c r="BB10" s="49"/>
      <c r="BC10" s="49"/>
      <c r="BD10" s="166"/>
      <c r="BE10" s="166"/>
      <c r="BF10" s="49"/>
      <c r="BG10" s="49"/>
      <c r="BH10" s="49"/>
      <c r="BI10" s="169"/>
      <c r="BJ10" s="169"/>
      <c r="BK10" s="166"/>
      <c r="BL10" s="49"/>
      <c r="BM10" s="49"/>
      <c r="BN10" s="49"/>
      <c r="BO10" s="166"/>
      <c r="BP10" s="166"/>
      <c r="BQ10" s="166"/>
      <c r="BR10" s="166"/>
      <c r="BS10" s="168"/>
    </row>
    <row r="11" spans="2:71" s="52" customFormat="1" x14ac:dyDescent="0.2">
      <c r="B11" s="205">
        <v>2</v>
      </c>
      <c r="C11" s="205" t="str">
        <f>LEFT('0006Z'!$B$10, 1)</f>
        <v>2</v>
      </c>
      <c r="D11" s="205" t="str">
        <f>IF(OR('0006Z'!$N$9="", RIGHT(LEFT('0006Z'!$A$12, 3), 1)="0", RIGHT(LEFT('0006Z'!$A$12, 3), 1)="/"), "0", RIGHT(LEFT('0006Z'!$N$9, 2), 1))</f>
        <v>0</v>
      </c>
      <c r="E11" s="206">
        <v>0</v>
      </c>
      <c r="F11" s="215" t="str">
        <f>IF(D11="0","000",IF(D11="/","///",'0006Z'!$N$10))</f>
        <v>000</v>
      </c>
      <c r="G11" s="205" t="str">
        <f>IF(OR(RIGHT(LEFT('0006Z'!$A$12, 3), 1)=0, RIGHT(LEFT('0006Z'!$A$12, 3), 1)="/"), RIGHT(LEFT('0006Z'!$A$12, 3), 1), RIGHT(LEFT('0006Z'!$M$9, 2), 1))</f>
        <v>2</v>
      </c>
      <c r="H11" s="206">
        <v>2</v>
      </c>
      <c r="I11" s="253" t="str">
        <f>IF(OR(G11="0", G11="/"), G11, RIGHT(LEFT('0006Z'!$K$12, 3), 1))</f>
        <v>0</v>
      </c>
      <c r="J11" s="215">
        <f>IF(G11="0","000",IF(G11="/","///",'0006Z'!$M$10))</f>
        <v>488</v>
      </c>
      <c r="K11" s="215">
        <f>IFERROR(MIN(SUM(D11+G11),8),"")</f>
        <v>2</v>
      </c>
      <c r="L11" s="205" t="str">
        <f>IF(OR(RIGHT(LEFT('0006Z'!$A$12, 4), 1)="0", RIGHT(LEFT('0006Z'!$A$12, 4), 1)="/"), RIGHT(LEFT('0006Z'!$A$12, 4), 1), RIGHT(LEFT('0006Z'!$L$9, 2), 1))</f>
        <v>0</v>
      </c>
      <c r="M11" s="205" t="str">
        <f>IF(OR(L11="0", L11="/"), L11, RIGHT(LEFT('0006Z'!$A$12, 4), 1))</f>
        <v>0</v>
      </c>
      <c r="N11" s="205" t="str">
        <f>IF(OR(L11="0", L11="/"), L11, RIGHT(LEFT('0006Z'!$K$12, 4), 1))</f>
        <v>0</v>
      </c>
      <c r="O11" s="215" t="str">
        <f>IF(L11="0","0000",IF(L11="/","////",'0006Z'!$L$10))</f>
        <v>0000</v>
      </c>
      <c r="P11" s="215">
        <f>IF(L11="/",K11,IFERROR(MIN(SUM(K11+L11),8),L11))</f>
        <v>2</v>
      </c>
      <c r="Q11" s="205" t="str">
        <f>IF(OR(RIGHT(LEFT('0006Z'!$A$12, 5), 1)="0", RIGHT(LEFT('0006Z'!$A$12, 5), 1)="/"), RIGHT(LEFT('0006Z'!$A$12, 5), 1), RIGHT(LEFT('0006Z'!$K$9, 2), 1))</f>
        <v>0</v>
      </c>
      <c r="R11" s="205" t="str">
        <f>IF(OR(Q11="0", Q11="/"), Q11, RIGHT(LEFT('0006Z'!$A$12, 5), 1))</f>
        <v>0</v>
      </c>
      <c r="S11" s="205" t="str">
        <f>IF(OR(Q11="0", Q11="/"), Q11, RIGHT(LEFT('0006Z'!$K$12, 5), 1))</f>
        <v>0</v>
      </c>
      <c r="T11" s="215" t="str">
        <f>IF(Q11="0","0000",IF(Q11="/","////",'0006Z'!$K$10))</f>
        <v>0000</v>
      </c>
      <c r="U11" s="215">
        <f>IF(Q11="/",P11,IFERROR(MIN(SUM(P11+Q11),8),Q11))</f>
        <v>2</v>
      </c>
      <c r="V11" s="207" t="str">
        <f>IF('0006Z'!$F$37="INAP","INAP",'0006Z'!$F$37)</f>
        <v>0.0</v>
      </c>
      <c r="W11" s="208" t="str">
        <f>IF('0006Z'!$F$29="","",'0006Z'!$F$29)</f>
        <v>27.0</v>
      </c>
      <c r="X11" s="208">
        <f>IF('0006Z'!$F$33="","",'0006Z'!$F$33)</f>
        <v>24.3</v>
      </c>
      <c r="Y11" s="216" t="str">
        <f>'0006Z'!$F$12</f>
        <v>30///</v>
      </c>
      <c r="Z11" s="206" t="s">
        <v>348</v>
      </c>
      <c r="AA11" s="164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</row>
    <row r="12" spans="2:71" x14ac:dyDescent="0.2">
      <c r="B12" s="201">
        <v>3</v>
      </c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4"/>
      <c r="W12" s="204"/>
      <c r="X12" s="209"/>
      <c r="Y12" s="202"/>
      <c r="Z12" s="202"/>
      <c r="AA12" s="163"/>
      <c r="AU12" s="166"/>
      <c r="AV12" s="166"/>
      <c r="AW12" s="167"/>
      <c r="AX12" s="167"/>
      <c r="AY12" s="167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</row>
    <row r="13" spans="2:71" x14ac:dyDescent="0.2">
      <c r="B13" s="201">
        <v>4</v>
      </c>
      <c r="C13" s="202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4"/>
      <c r="W13" s="204"/>
      <c r="X13" s="209"/>
      <c r="Y13" s="202"/>
      <c r="Z13" s="202"/>
      <c r="AA13" s="163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49"/>
    </row>
    <row r="14" spans="2:71" s="52" customFormat="1" x14ac:dyDescent="0.2">
      <c r="B14" s="205">
        <v>5</v>
      </c>
      <c r="C14" s="205" t="str">
        <f>LEFT('0009Z'!$B$10, 1)</f>
        <v>6</v>
      </c>
      <c r="D14" s="205" t="str">
        <f>IF(OR('0009Z'!$N$9="", RIGHT(LEFT('0009Z'!$A$12, 3), 1)="0", RIGHT(LEFT('0009Z'!$A$12, 3), 1)="/"), "0", RIGHT(LEFT('0009Z'!$N$9, 2), 1))</f>
        <v>0</v>
      </c>
      <c r="E14" s="206">
        <v>0</v>
      </c>
      <c r="F14" s="215" t="str">
        <f>IF(D14="0","000",IF(D14="/","///",'0009Z'!$N$10))</f>
        <v>000</v>
      </c>
      <c r="G14" s="205" t="str">
        <f>IF(OR(RIGHT(LEFT('0009Z'!$A$12, 3), 1)=0, RIGHT(LEFT('0009Z'!$A$12, 3), 1)="/"), RIGHT(LEFT('0009Z'!$A$12, 3), 1), RIGHT(LEFT('0009Z'!$M$9, 2), 1))</f>
        <v>5</v>
      </c>
      <c r="H14" s="206">
        <v>8</v>
      </c>
      <c r="I14" s="253" t="str">
        <f>IF(OR(G14="0", G14="/"), G14, RIGHT(LEFT('0009Z'!$K$12, 3), 1))</f>
        <v>0</v>
      </c>
      <c r="J14" s="215">
        <f>IF(G14="0","000",IF(G14="/","///",'0009Z'!$M$10))</f>
        <v>457</v>
      </c>
      <c r="K14" s="215">
        <f>IFERROR(MIN(SUM(D14+G14),8),"")</f>
        <v>5</v>
      </c>
      <c r="L14" s="205" t="str">
        <f>IF(OR(RIGHT(LEFT('0009Z'!$A$12, 4), 1)="0", RIGHT(LEFT('0009Z'!$A$12, 4), 1)="/"), RIGHT(LEFT('0009Z'!$A$12, 4), 1), RIGHT(LEFT('0009Z'!$L$9, 2), 1))</f>
        <v>6</v>
      </c>
      <c r="M14" s="205" t="str">
        <f>IF(OR(L14="0", L14="/"), L14, RIGHT(LEFT('0009Z'!$A$12, 4), 1))</f>
        <v>7</v>
      </c>
      <c r="N14" s="205" t="str">
        <f>IF(OR(L14="0", L14="/"), L14, RIGHT(LEFT('0009Z'!$K$12, 4), 1))</f>
        <v>0</v>
      </c>
      <c r="O14" s="215">
        <f>IF(L14="0","0000",IF(L14="/","////",'0009Z'!$L$10))</f>
        <v>2134</v>
      </c>
      <c r="P14" s="215">
        <f>IF(L14="/",K14,IFERROR(MIN(SUM(K14+L14),8),L14))</f>
        <v>8</v>
      </c>
      <c r="Q14" s="205" t="str">
        <f>IF(OR(RIGHT(LEFT('0009Z'!$A$12, 5), 1)="0", RIGHT(LEFT('0009Z'!$A$12, 5), 1)="/"), RIGHT(LEFT('0009Z'!$A$12, 5), 1), RIGHT(LEFT('0009Z'!$K$9, 2), 1))</f>
        <v>0</v>
      </c>
      <c r="R14" s="205" t="str">
        <f>IF(OR(Q14="0", Q14="/"), Q14, RIGHT(LEFT('0009Z'!$A$12, 5), 1))</f>
        <v>0</v>
      </c>
      <c r="S14" s="205" t="str">
        <f>IF(OR(Q14="0", Q14="/"), Q14, RIGHT(LEFT('0009Z'!$K$12, 5), 1))</f>
        <v>0</v>
      </c>
      <c r="T14" s="215" t="str">
        <f>IF(Q14="0","0000",IF(Q14="/","////",'0009Z'!$K$10))</f>
        <v>0000</v>
      </c>
      <c r="U14" s="215">
        <f>IF(Q14="/",P14,IFERROR(MIN(SUM(P14+Q14),8),Q14))</f>
        <v>8</v>
      </c>
      <c r="V14" s="207" t="str">
        <f>IF('0009Z'!$F$37="INAP","INAP",'0009Z'!$F$37)</f>
        <v>0.5</v>
      </c>
      <c r="W14" s="208" t="str">
        <f>IF('0009Z'!$F$29="","",'0009Z'!$F$29)</f>
        <v/>
      </c>
      <c r="X14" s="208" t="str">
        <f>IF('0009Z'!$F$33="","",'0009Z'!$F$33)</f>
        <v/>
      </c>
      <c r="Y14" s="216" t="str">
        <f>'0009Z'!$F$12</f>
        <v>31///</v>
      </c>
      <c r="Z14" s="206" t="s">
        <v>348</v>
      </c>
      <c r="AA14" s="164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</row>
    <row r="15" spans="2:71" x14ac:dyDescent="0.2">
      <c r="B15" s="201">
        <v>6</v>
      </c>
      <c r="C15" s="210"/>
      <c r="D15" s="210"/>
      <c r="E15" s="210"/>
      <c r="F15" s="211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202"/>
      <c r="AA15" s="163"/>
    </row>
    <row r="16" spans="2:71" x14ac:dyDescent="0.2">
      <c r="B16" s="201">
        <v>7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2"/>
      <c r="X16" s="212"/>
      <c r="Y16" s="213"/>
      <c r="Z16" s="202"/>
      <c r="AA16" s="163"/>
    </row>
    <row r="17" spans="2:71" s="52" customFormat="1" x14ac:dyDescent="0.2">
      <c r="B17" s="205">
        <v>8</v>
      </c>
      <c r="C17" s="205" t="str">
        <f>LEFT('1200Z'!$B$10, 1)</f>
        <v>6</v>
      </c>
      <c r="D17" s="205" t="str">
        <f>IF(OR('1200Z'!$N$9="", RIGHT(LEFT('1200Z'!$A$12, 3), 1)="0", RIGHT(LEFT('1200Z'!$A$12, 3), 1)="/"), "0", RIGHT(LEFT('1200Z'!$N$9, 2), 1))</f>
        <v>0</v>
      </c>
      <c r="E17" s="206">
        <v>0</v>
      </c>
      <c r="F17" s="215" t="str">
        <f>IF(D17="0","000",IF(D17="/","///",'1200Z'!$N$10))</f>
        <v>000</v>
      </c>
      <c r="G17" s="205" t="str">
        <f>IF(OR(RIGHT(LEFT('1200Z'!$A$12, 3), 1)=0, RIGHT(LEFT('1200Z'!$A$12, 3), 1)="/"), RIGHT(LEFT('1200Z'!$A$12, 3), 1), RIGHT(LEFT('1200Z'!$M$9, 2), 1))</f>
        <v>4</v>
      </c>
      <c r="H17" s="206">
        <v>8</v>
      </c>
      <c r="I17" s="253" t="str">
        <f>IF(OR(G17="0", G17="/"), G17, RIGHT(LEFT('1200Z'!$K$12, 3), 1))</f>
        <v>0</v>
      </c>
      <c r="J17" s="215">
        <f>IF(G17="0","000",IF(G17="/","///",'1200Z'!$M$10))</f>
        <v>488</v>
      </c>
      <c r="K17" s="215">
        <f>IFERROR(MIN(SUM(D17+G17),8),"")</f>
        <v>4</v>
      </c>
      <c r="L17" s="205" t="str">
        <f>IF(OR(RIGHT(LEFT('1200Z'!$A$12, 4), 1)="0", RIGHT(LEFT('1200Z'!$A$12, 4), 1)="/"), RIGHT(LEFT('1200Z'!$A$12, 4), 1), RIGHT(LEFT('1200Z'!$L$9, 2), 1))</f>
        <v>5</v>
      </c>
      <c r="M17" s="205" t="str">
        <f>IF(OR(L17="0", L17="/"), L17, RIGHT(LEFT('1200Z'!$A$12, 4), 1))</f>
        <v>7</v>
      </c>
      <c r="N17" s="205" t="str">
        <f>IF(OR(L17="0", L17="/"), L17, RIGHT(LEFT('1200Z'!$K$12, 4), 1))</f>
        <v>0</v>
      </c>
      <c r="O17" s="215">
        <f>IF(L17="0","0000",IF(L17="/","////",'1200Z'!$L$10))</f>
        <v>2438</v>
      </c>
      <c r="P17" s="215">
        <f>IF(L17="/",K17,IFERROR(MIN(SUM(K17+L17),8),L17))</f>
        <v>8</v>
      </c>
      <c r="Q17" s="205" t="str">
        <f>IF(OR(RIGHT(LEFT('1200Z'!$A$12, 5), 1)="0", RIGHT(LEFT('1200Z'!$A$12, 5), 1)="/"), RIGHT(LEFT('1200Z'!$A$12, 5), 1), RIGHT(LEFT('1200Z'!$K$9, 2), 1))</f>
        <v>0</v>
      </c>
      <c r="R17" s="205" t="str">
        <f>IF(OR(Q17="0", Q17="/"), Q17, RIGHT(LEFT('1200Z'!$A$12, 5), 1))</f>
        <v>0</v>
      </c>
      <c r="S17" s="205" t="str">
        <f>IF(OR(Q17="0", Q17="/"), Q17, RIGHT(LEFT('1200Z'!$K$12, 5), 1))</f>
        <v>0</v>
      </c>
      <c r="T17" s="215" t="str">
        <f>IF(Q17="0","0000",IF(Q17="/","////",'1200Z'!$K$10))</f>
        <v>0000</v>
      </c>
      <c r="U17" s="215">
        <f>IF(Q17="/",P17,IFERROR(MIN(SUM(P17+Q17),8),Q17))</f>
        <v>8</v>
      </c>
      <c r="V17" s="207" t="str">
        <f>IF('1200Z'!$F$37="INAP","INAP",'1200Z'!$F$37)</f>
        <v>0.0</v>
      </c>
      <c r="W17" s="208" t="str">
        <f>IF('1200Z'!$F$29="","",'1200Z'!$F$29)</f>
        <v>24.5</v>
      </c>
      <c r="X17" s="208">
        <f>IF('1200Z'!$F$33="","",'1200Z'!$F$33)</f>
        <v>23</v>
      </c>
      <c r="Y17" s="216" t="str">
        <f>'1200Z'!$F$12</f>
        <v>31///</v>
      </c>
      <c r="Z17" s="206" t="s">
        <v>409</v>
      </c>
      <c r="AA17" s="164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</row>
    <row r="18" spans="2:71" x14ac:dyDescent="0.2">
      <c r="B18" s="201">
        <v>9</v>
      </c>
      <c r="C18" s="202"/>
      <c r="D18" s="203"/>
      <c r="E18" s="203"/>
      <c r="F18" s="211"/>
      <c r="G18" s="203"/>
      <c r="H18" s="203"/>
      <c r="I18" s="211"/>
      <c r="J18" s="211"/>
      <c r="K18" s="211"/>
      <c r="L18" s="202"/>
      <c r="M18" s="202"/>
      <c r="N18" s="202"/>
      <c r="O18" s="211"/>
      <c r="P18" s="211"/>
      <c r="Q18" s="202"/>
      <c r="R18" s="202"/>
      <c r="S18" s="202"/>
      <c r="T18" s="211"/>
      <c r="U18" s="211"/>
      <c r="V18" s="204"/>
      <c r="W18" s="204"/>
      <c r="X18" s="209"/>
      <c r="Y18" s="214"/>
      <c r="Z18" s="202"/>
      <c r="AA18" s="163"/>
      <c r="AF18" s="165"/>
    </row>
    <row r="19" spans="2:71" x14ac:dyDescent="0.2">
      <c r="B19" s="201">
        <v>10</v>
      </c>
      <c r="C19" s="202"/>
      <c r="D19" s="203"/>
      <c r="E19" s="203"/>
      <c r="F19" s="211"/>
      <c r="G19" s="203"/>
      <c r="H19" s="203"/>
      <c r="I19" s="211"/>
      <c r="J19" s="211"/>
      <c r="K19" s="211"/>
      <c r="L19" s="202"/>
      <c r="M19" s="202"/>
      <c r="N19" s="202"/>
      <c r="O19" s="211"/>
      <c r="P19" s="211"/>
      <c r="Q19" s="202"/>
      <c r="R19" s="202"/>
      <c r="S19" s="202"/>
      <c r="T19" s="211"/>
      <c r="U19" s="211"/>
      <c r="V19" s="204"/>
      <c r="W19" s="204"/>
      <c r="X19" s="209"/>
      <c r="Y19" s="214"/>
      <c r="Z19" s="202"/>
      <c r="AA19" s="163"/>
      <c r="AF19" s="53"/>
    </row>
    <row r="20" spans="2:71" s="52" customFormat="1" x14ac:dyDescent="0.2">
      <c r="B20" s="205">
        <v>11</v>
      </c>
      <c r="C20" s="205" t="str">
        <f>LEFT('1500Z'!$B$10, 1)</f>
        <v>5</v>
      </c>
      <c r="D20" s="205" t="str">
        <f>IF(OR('1500Z'!$N$9="", RIGHT(LEFT('1500Z'!$A$12, 3), 1)="0", RIGHT(LEFT('1500Z'!$A$12, 3), 1)="/"), "0", RIGHT(LEFT('1500Z'!$N$9, 2), 1))</f>
        <v>0</v>
      </c>
      <c r="E20" s="206">
        <v>0</v>
      </c>
      <c r="F20" s="215" t="str">
        <f>IF(D20="0","000",IF(D20="/","///",'1500Z'!$N$10))</f>
        <v>000</v>
      </c>
      <c r="G20" s="205" t="str">
        <f>IF(OR(RIGHT(LEFT('1500Z'!$A$12, 3), 1)=0, RIGHT(LEFT('1500Z'!$A$12, 3), 1)="/"), RIGHT(LEFT('1500Z'!$A$12, 3), 1), RIGHT(LEFT('1500Z'!$M$9, 2), 1))</f>
        <v>4</v>
      </c>
      <c r="H20" s="206">
        <v>2</v>
      </c>
      <c r="I20" s="253" t="str">
        <f>IF(OR(G20="0", G20="/"), G20, RIGHT(LEFT('1500Z'!$K$12, 3), 1))</f>
        <v>2</v>
      </c>
      <c r="J20" s="215">
        <f>IF(G20="0","000",IF(G20="/","///",'1500Z'!$M$10))</f>
        <v>610</v>
      </c>
      <c r="K20" s="215">
        <f>IFERROR(MIN(SUM(D20+G20),8),"")</f>
        <v>4</v>
      </c>
      <c r="L20" s="205" t="str">
        <f>IF(OR(RIGHT(LEFT('1500Z'!$A$12, 4), 1)="0", RIGHT(LEFT('1500Z'!$A$12, 4), 1)="/"), RIGHT(LEFT('1500Z'!$A$12, 4), 1), RIGHT(LEFT('1500Z'!$L$9, 2), 1))</f>
        <v>3</v>
      </c>
      <c r="M20" s="205" t="str">
        <f>IF(OR(L20="0", L20="/"), L20, RIGHT(LEFT('1500Z'!$A$12, 4), 1))</f>
        <v>3</v>
      </c>
      <c r="N20" s="205" t="str">
        <f>IF(OR(L20="0", L20="/"), L20, RIGHT(LEFT('1500Z'!$K$12, 4), 1))</f>
        <v>0</v>
      </c>
      <c r="O20" s="215">
        <f>IF(L20="0","0000",IF(L20="/","////",'1500Z'!$L$10))</f>
        <v>2438</v>
      </c>
      <c r="P20" s="215">
        <f>IF(L20="/",K20,IFERROR(MIN(SUM(K20+L20),8),L20))</f>
        <v>7</v>
      </c>
      <c r="Q20" s="205" t="str">
        <f>IF(OR(RIGHT(LEFT('1500Z'!$A$12, 5), 1)="0", RIGHT(LEFT('1500Z'!$A$12, 5), 1)="/"), RIGHT(LEFT('1500Z'!$A$12, 5), 1), RIGHT(LEFT('1500Z'!$K$9, 2), 1))</f>
        <v>0</v>
      </c>
      <c r="R20" s="205" t="str">
        <f>IF(OR(Q20="0", Q20="/"), Q20, RIGHT(LEFT('1500Z'!$A$12, 5), 1))</f>
        <v>0</v>
      </c>
      <c r="S20" s="205" t="str">
        <f>IF(OR(Q20="0", Q20="/"), Q20, RIGHT(LEFT('1500Z'!$K$12, 5), 1))</f>
        <v>0</v>
      </c>
      <c r="T20" s="215" t="str">
        <f>IF(Q20="0","0000",IF(Q20="/","////",'1500Z'!$K$10))</f>
        <v>0000</v>
      </c>
      <c r="U20" s="215">
        <f>IF(Q20="/",P20,IFERROR(MIN(SUM(P20+Q20),8),Q20))</f>
        <v>7</v>
      </c>
      <c r="V20" s="207" t="str">
        <f>IF('1500Z'!$F$37="INAP","INAP",'1500Z'!$F$37)</f>
        <v>0.0</v>
      </c>
      <c r="W20" s="208" t="str">
        <f>IF('1500Z'!$F$29="","",'1500Z'!$F$29)</f>
        <v/>
      </c>
      <c r="X20" s="208" t="str">
        <f>IF('1500Z'!$F$33="","",'1500Z'!$F$33)</f>
        <v/>
      </c>
      <c r="Y20" s="216" t="str">
        <f>'1500Z'!$F$12</f>
        <v>30///</v>
      </c>
      <c r="Z20" s="206" t="s">
        <v>409</v>
      </c>
      <c r="AA20" s="164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49"/>
      <c r="BS20" s="49"/>
    </row>
    <row r="21" spans="2:71" x14ac:dyDescent="0.2">
      <c r="B21" s="201">
        <v>12</v>
      </c>
      <c r="C21" s="202"/>
      <c r="D21" s="203"/>
      <c r="E21" s="203"/>
      <c r="F21" s="211"/>
      <c r="G21" s="203"/>
      <c r="H21" s="203"/>
      <c r="I21" s="211"/>
      <c r="J21" s="211"/>
      <c r="K21" s="211"/>
      <c r="L21" s="202"/>
      <c r="M21" s="202"/>
      <c r="N21" s="202"/>
      <c r="O21" s="211"/>
      <c r="P21" s="211"/>
      <c r="Q21" s="202"/>
      <c r="R21" s="202"/>
      <c r="S21" s="202"/>
      <c r="T21" s="211"/>
      <c r="U21" s="211"/>
      <c r="V21" s="204"/>
      <c r="W21" s="204"/>
      <c r="X21" s="209"/>
      <c r="Y21" s="214"/>
      <c r="Z21" s="202"/>
      <c r="AA21" s="163"/>
    </row>
    <row r="22" spans="2:71" x14ac:dyDescent="0.2">
      <c r="B22" s="201">
        <v>13</v>
      </c>
      <c r="C22" s="202"/>
      <c r="D22" s="203"/>
      <c r="E22" s="203"/>
      <c r="F22" s="211"/>
      <c r="G22" s="203"/>
      <c r="H22" s="203"/>
      <c r="I22" s="211"/>
      <c r="J22" s="211"/>
      <c r="K22" s="211"/>
      <c r="L22" s="202"/>
      <c r="M22" s="202"/>
      <c r="N22" s="202"/>
      <c r="O22" s="211"/>
      <c r="P22" s="211"/>
      <c r="Q22" s="202"/>
      <c r="R22" s="202"/>
      <c r="S22" s="202"/>
      <c r="T22" s="211"/>
      <c r="U22" s="211"/>
      <c r="V22" s="204"/>
      <c r="W22" s="204"/>
      <c r="X22" s="209"/>
      <c r="Y22" s="214"/>
      <c r="Z22" s="202"/>
      <c r="AA22" s="163"/>
    </row>
    <row r="23" spans="2:71" s="52" customFormat="1" x14ac:dyDescent="0.2">
      <c r="B23" s="205">
        <v>14</v>
      </c>
      <c r="C23" s="205" t="str">
        <f>LEFT('1800Z'!$B$10, 1)</f>
        <v>7</v>
      </c>
      <c r="D23" s="205" t="str">
        <f>IF(OR('1800Z'!$N$9="", RIGHT(LEFT('1800Z'!$A$12, 3), 1)="0", RIGHT(LEFT('1800Z'!$A$12, 3), 1)="/"), "0", RIGHT(LEFT('1800Z'!$N$9, 2), 1))</f>
        <v>0</v>
      </c>
      <c r="E23" s="206">
        <v>0</v>
      </c>
      <c r="F23" s="215" t="str">
        <f>IF(D23="0","000",IF(D23="/","///",'1800Z'!$N$10))</f>
        <v>000</v>
      </c>
      <c r="G23" s="205" t="str">
        <f>IF(OR(RIGHT(LEFT('1800Z'!$A$12, 3), 1)=0, RIGHT(LEFT('1800Z'!$A$12, 3), 1)="/"), RIGHT(LEFT('1800Z'!$A$12, 3), 1), RIGHT(LEFT('1800Z'!$M$9, 2), 1))</f>
        <v>4</v>
      </c>
      <c r="H23" s="206">
        <v>2</v>
      </c>
      <c r="I23" s="253" t="str">
        <f>IF(OR(G23="0", G23="/"), G23, RIGHT(LEFT('1800Z'!$K$12, 3), 1))</f>
        <v>2</v>
      </c>
      <c r="J23" s="215">
        <f>IF(G23="0","000",IF(G23="/","///",'1800Z'!$M$10))</f>
        <v>610</v>
      </c>
      <c r="K23" s="215">
        <f>IFERROR(MIN(SUM(D23+G23),8),"")</f>
        <v>4</v>
      </c>
      <c r="L23" s="205" t="str">
        <f>IF(OR(RIGHT(LEFT('1800Z'!$A$12, 4), 1)="0", RIGHT(LEFT('1800Z'!$A$12, 4), 1)="/"), RIGHT(LEFT('1800Z'!$A$12, 4), 1), RIGHT(LEFT('1800Z'!$L$9, 2), 1))</f>
        <v>5</v>
      </c>
      <c r="M23" s="205" t="str">
        <f>IF(OR(L23="0", L23="/"), L23, RIGHT(LEFT('1800Z'!$A$12, 4), 1))</f>
        <v>3</v>
      </c>
      <c r="N23" s="205" t="str">
        <f>IF(OR(L23="0", L23="/"), L23, RIGHT(LEFT('1800Z'!$K$12, 4), 1))</f>
        <v>0</v>
      </c>
      <c r="O23" s="215">
        <f>IF(L23="0","0000",IF(L23="/","////",'1800Z'!$L$10))</f>
        <v>2438</v>
      </c>
      <c r="P23" s="215">
        <f>IF(L23="/",K23,IFERROR(MIN(SUM(K23+L23),8),L23))</f>
        <v>8</v>
      </c>
      <c r="Q23" s="205" t="str">
        <f>IF(OR(RIGHT(LEFT('1800Z'!$A$12, 5), 1)="0", RIGHT(LEFT('1800Z'!$A$12, 5), 1)="/"), RIGHT(LEFT('1800Z'!$A$12, 5), 1), RIGHT(LEFT('1800Z'!$K$9, 2), 1))</f>
        <v>0</v>
      </c>
      <c r="R23" s="205" t="str">
        <f>IF(OR(Q23="0", Q23="/"), Q23, RIGHT(LEFT('1800Z'!$A$12, 5), 1))</f>
        <v>0</v>
      </c>
      <c r="S23" s="205" t="str">
        <f>IF(OR(Q23="0", Q23="/"), Q23, RIGHT(LEFT('1800Z'!$K$12, 5), 1))</f>
        <v>0</v>
      </c>
      <c r="T23" s="215" t="str">
        <f>IF(Q23="0","0000",IF(Q23="/","////",'1800Z'!$K$10))</f>
        <v>0000</v>
      </c>
      <c r="U23" s="215">
        <f>IF(Q23="/",P23,IFERROR(MIN(SUM(P23+Q23),8),Q23))</f>
        <v>8</v>
      </c>
      <c r="V23" s="207" t="str">
        <f>IF('1800Z'!$F$37="INAP","INAP",'1800Z'!$F$37)</f>
        <v>0.0</v>
      </c>
      <c r="W23" s="208" t="str">
        <f>IF('1800Z'!$F$29="","",'1800Z'!$F$29)</f>
        <v>31.3</v>
      </c>
      <c r="X23" s="208">
        <f>IF('1800Z'!$F$33="","",'1800Z'!$F$33)</f>
        <v>24</v>
      </c>
      <c r="Y23" s="216" t="str">
        <f>'1800Z'!$F$12</f>
        <v>30///</v>
      </c>
      <c r="Z23" s="206" t="s">
        <v>409</v>
      </c>
      <c r="AA23" s="164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</row>
    <row r="24" spans="2:71" x14ac:dyDescent="0.2">
      <c r="B24" s="201">
        <v>15</v>
      </c>
      <c r="C24" s="202"/>
      <c r="D24" s="203"/>
      <c r="E24" s="203"/>
      <c r="F24" s="211"/>
      <c r="G24" s="203"/>
      <c r="H24" s="203"/>
      <c r="I24" s="211"/>
      <c r="J24" s="211"/>
      <c r="K24" s="211"/>
      <c r="L24" s="202"/>
      <c r="M24" s="202"/>
      <c r="N24" s="202"/>
      <c r="O24" s="211"/>
      <c r="P24" s="211"/>
      <c r="Q24" s="202"/>
      <c r="R24" s="202"/>
      <c r="S24" s="202"/>
      <c r="T24" s="211"/>
      <c r="U24" s="211"/>
      <c r="V24" s="204"/>
      <c r="W24" s="204"/>
      <c r="X24" s="209"/>
      <c r="Y24" s="214"/>
      <c r="Z24" s="202"/>
      <c r="AA24" s="163"/>
    </row>
    <row r="25" spans="2:71" x14ac:dyDescent="0.2">
      <c r="B25" s="201">
        <v>16</v>
      </c>
      <c r="C25" s="202"/>
      <c r="D25" s="203"/>
      <c r="E25" s="203"/>
      <c r="F25" s="211"/>
      <c r="G25" s="203"/>
      <c r="H25" s="203"/>
      <c r="I25" s="211"/>
      <c r="J25" s="211"/>
      <c r="K25" s="211"/>
      <c r="L25" s="202"/>
      <c r="M25" s="202"/>
      <c r="N25" s="202"/>
      <c r="O25" s="211"/>
      <c r="P25" s="211"/>
      <c r="Q25" s="202"/>
      <c r="R25" s="202"/>
      <c r="S25" s="202"/>
      <c r="T25" s="211"/>
      <c r="U25" s="211"/>
      <c r="V25" s="204"/>
      <c r="W25" s="204"/>
      <c r="X25" s="209"/>
      <c r="Y25" s="214"/>
      <c r="Z25" s="202"/>
      <c r="AA25" s="163"/>
    </row>
    <row r="26" spans="2:71" s="52" customFormat="1" x14ac:dyDescent="0.2">
      <c r="B26" s="205">
        <v>17</v>
      </c>
      <c r="C26" s="205" t="str">
        <f>LEFT('2100Z'!$B$10, 1)</f>
        <v>7</v>
      </c>
      <c r="D26" s="205" t="str">
        <f>IF(OR('2100Z'!$N$9="", RIGHT(LEFT('2100Z'!$A$12, 3), 1)="0", RIGHT(LEFT('2100Z'!$A$12, 3), 1)="/"), "0", RIGHT(LEFT('2100Z'!$N$9, 2), 1))</f>
        <v>0</v>
      </c>
      <c r="E26" s="206">
        <v>0</v>
      </c>
      <c r="F26" s="215" t="str">
        <f>IF(D26="0","000",IF(D26="/","///",'2100Z'!$N$10))</f>
        <v>000</v>
      </c>
      <c r="G26" s="205" t="str">
        <f>IF(OR(RIGHT(LEFT('2100Z'!$A$12, 3), 1)=0, RIGHT(LEFT('2100Z'!$A$12, 3), 1)="/"), RIGHT(LEFT('2100Z'!$A$12, 3), 1), RIGHT(LEFT('2100Z'!$M$9, 2), 1))</f>
        <v>3</v>
      </c>
      <c r="H26" s="206">
        <v>2</v>
      </c>
      <c r="I26" s="253" t="str">
        <f>IF(OR(G26="0", G26="/"), G26, RIGHT(LEFT('2100Z'!$K$12, 3), 1))</f>
        <v>0</v>
      </c>
      <c r="J26" s="215">
        <f>IF(G26="0","000",IF(G26="/","///",'2100Z'!$M$10))</f>
        <v>610</v>
      </c>
      <c r="K26" s="215">
        <f>IFERROR(MIN(SUM(D26+G26),8),"")</f>
        <v>3</v>
      </c>
      <c r="L26" s="205" t="str">
        <f>IF(OR(RIGHT(LEFT('2100Z'!$A$12, 4), 1)="0", RIGHT(LEFT('2100Z'!$A$12, 4), 1)="/"), RIGHT(LEFT('2100Z'!$A$12, 4), 1), RIGHT(LEFT('2100Z'!$L$9, 2), 1))</f>
        <v>6</v>
      </c>
      <c r="M26" s="205" t="str">
        <f>IF(OR(L26="0", L26="/"), L26, RIGHT(LEFT('2100Z'!$A$12, 4), 1))</f>
        <v>7</v>
      </c>
      <c r="N26" s="205" t="str">
        <f>IF(OR(L26="0", L26="/"), L26, RIGHT(LEFT('2100Z'!$K$12, 4), 1))</f>
        <v>0</v>
      </c>
      <c r="O26" s="215">
        <f>IF(L26="0","0000",IF(L26="/","////",'2100Z'!$L$10))</f>
        <v>2438</v>
      </c>
      <c r="P26" s="215">
        <f>IF(L26="/",K26,IFERROR(MIN(SUM(K26+L26),8),L26))</f>
        <v>8</v>
      </c>
      <c r="Q26" s="205" t="str">
        <f>IF(OR(RIGHT(LEFT('2100Z'!$A$12, 5), 1)="0", RIGHT(LEFT('2100Z'!$A$12, 5), 1)="/"), RIGHT(LEFT('2100Z'!$A$12, 5), 1), RIGHT(LEFT('2100Z'!$K$9, 2), 1))</f>
        <v>0</v>
      </c>
      <c r="R26" s="205" t="str">
        <f>IF(OR(Q26="0", Q26="/"), Q26, RIGHT(LEFT('2100Z'!$A$12, 5), 1))</f>
        <v>0</v>
      </c>
      <c r="S26" s="205" t="str">
        <f>IF(OR(Q26="0", Q26="/"), Q26, RIGHT(LEFT('2100Z'!$K$12, 5), 1))</f>
        <v>0</v>
      </c>
      <c r="T26" s="215" t="str">
        <f>IF(Q26="0","0000",IF(Q26="/","////",'2100Z'!$K$10))</f>
        <v>0000</v>
      </c>
      <c r="U26" s="215">
        <f>IF(Q26="/",P26,IFERROR(MIN(SUM(P26+Q26),8),Q26))</f>
        <v>8</v>
      </c>
      <c r="V26" s="207" t="str">
        <f>IF('2100Z'!$F$37="INAP","INAP",'2100Z'!$F$37)</f>
        <v>0.0</v>
      </c>
      <c r="W26" s="208" t="str">
        <f>IF('2100Z'!$F$29="","",'2100Z'!$F$29)</f>
        <v/>
      </c>
      <c r="X26" s="208" t="str">
        <f>IF('2100Z'!$F$33="","",'2100Z'!$F$33)</f>
        <v/>
      </c>
      <c r="Y26" s="216" t="str">
        <f>'2100Z'!$F$12</f>
        <v>30///</v>
      </c>
      <c r="Z26" s="206" t="s">
        <v>409</v>
      </c>
      <c r="AA26" s="164"/>
      <c r="AU26" s="49"/>
      <c r="AV26" s="49"/>
      <c r="AW26" s="49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49"/>
      <c r="BK26" s="49"/>
      <c r="BL26" s="49"/>
      <c r="BM26" s="49"/>
      <c r="BN26" s="49"/>
      <c r="BO26" s="49"/>
      <c r="BP26" s="49"/>
      <c r="BQ26" s="49"/>
      <c r="BR26" s="49"/>
      <c r="BS26" s="49"/>
    </row>
    <row r="27" spans="2:71" x14ac:dyDescent="0.2">
      <c r="B27" s="201">
        <v>18</v>
      </c>
      <c r="C27" s="202"/>
      <c r="D27" s="203"/>
      <c r="E27" s="203"/>
      <c r="F27" s="211"/>
      <c r="G27" s="203"/>
      <c r="H27" s="203"/>
      <c r="I27" s="211"/>
      <c r="J27" s="211"/>
      <c r="K27" s="211"/>
      <c r="L27" s="202"/>
      <c r="M27" s="202"/>
      <c r="N27" s="202"/>
      <c r="O27" s="211"/>
      <c r="P27" s="211"/>
      <c r="Q27" s="202"/>
      <c r="R27" s="202"/>
      <c r="S27" s="202"/>
      <c r="T27" s="211"/>
      <c r="U27" s="211"/>
      <c r="V27" s="204"/>
      <c r="W27" s="204"/>
      <c r="X27" s="209"/>
      <c r="Y27" s="214"/>
      <c r="Z27" s="202"/>
      <c r="AA27" s="163"/>
    </row>
    <row r="28" spans="2:71" x14ac:dyDescent="0.2">
      <c r="B28" s="201">
        <v>19</v>
      </c>
      <c r="C28" s="202"/>
      <c r="D28" s="203"/>
      <c r="E28" s="203"/>
      <c r="F28" s="211"/>
      <c r="G28" s="203"/>
      <c r="H28" s="203"/>
      <c r="I28" s="211"/>
      <c r="J28" s="211"/>
      <c r="K28" s="211"/>
      <c r="L28" s="202"/>
      <c r="M28" s="202"/>
      <c r="N28" s="202"/>
      <c r="O28" s="211"/>
      <c r="P28" s="211"/>
      <c r="Q28" s="202"/>
      <c r="R28" s="202"/>
      <c r="S28" s="202"/>
      <c r="T28" s="211"/>
      <c r="U28" s="211"/>
      <c r="V28" s="204"/>
      <c r="W28" s="204"/>
      <c r="X28" s="209"/>
      <c r="Y28" s="214"/>
      <c r="Z28" s="202"/>
      <c r="AA28" s="163"/>
    </row>
    <row r="29" spans="2:71" s="52" customFormat="1" x14ac:dyDescent="0.2">
      <c r="B29" s="205">
        <v>20</v>
      </c>
      <c r="C29" s="205" t="str">
        <f>LEFT('0000Z'!$B$10, 1)</f>
        <v>6</v>
      </c>
      <c r="D29" s="205" t="str">
        <f>IF(OR('0000Z'!$N$9="", RIGHT(LEFT('0000Z'!$A$12, 3), 1)="0", RIGHT(LEFT('0000Z'!$A$12, 3), 1)="/"), "0", RIGHT(LEFT('0000Z'!$N$9, 2), 1))</f>
        <v>0</v>
      </c>
      <c r="E29" s="206">
        <v>0</v>
      </c>
      <c r="F29" s="215" t="str">
        <f>IF(D29="0","000",IF(D29="/","///",'0000Z'!$N$10))</f>
        <v>000</v>
      </c>
      <c r="G29" s="205" t="str">
        <f>IF(OR(RIGHT(LEFT('0000Z'!$A$12, 3), 1)=0, RIGHT(LEFT('0000Z'!$A$12, 3), 1)="/"), RIGHT(LEFT('0000Z'!$A$12, 3), 1), RIGHT(LEFT('0000Z'!$M$9, 2), 1))</f>
        <v>5</v>
      </c>
      <c r="H29" s="206">
        <v>8</v>
      </c>
      <c r="I29" s="253" t="str">
        <f>IF(OR(G29="0", G29="/"), G29, RIGHT(LEFT('0000Z'!$K$12, 3), 1))</f>
        <v>0</v>
      </c>
      <c r="J29" s="215">
        <f>IF(G29="0","000",IF(G29="/","///",'0000Z'!$M$10))</f>
        <v>610</v>
      </c>
      <c r="K29" s="215">
        <f>IFERROR(MIN(SUM(D29+G29),8),"")</f>
        <v>5</v>
      </c>
      <c r="L29" s="205" t="str">
        <f>IF(OR(RIGHT(LEFT('0000Z'!$A$12, 4), 1)="0", RIGHT(LEFT('0000Z'!$A$12, 4), 1)="/"), RIGHT(LEFT('0000Z'!$A$12, 4), 1), RIGHT(LEFT('0000Z'!$L$9, 2), 1))</f>
        <v>5</v>
      </c>
      <c r="M29" s="205" t="str">
        <f>IF(OR(L29="0", L29="/"), L29, RIGHT(LEFT('0000Z'!$A$12, 4), 1))</f>
        <v>7</v>
      </c>
      <c r="N29" s="205" t="str">
        <f>IF(OR(L29="0", L29="/"), L29, RIGHT(LEFT('0000Z'!$K$12, 4), 1))</f>
        <v>0</v>
      </c>
      <c r="O29" s="215">
        <f>IF(L29="0","0000",IF(L29="/","////",'0000Z'!$L$10))</f>
        <v>2438</v>
      </c>
      <c r="P29" s="215">
        <f>IF(L29="/",K29,IFERROR(MIN(SUM(K29+L29),8),L29))</f>
        <v>8</v>
      </c>
      <c r="Q29" s="205" t="str">
        <f>IF(OR(RIGHT(LEFT('0000Z'!$A$12, 5), 1)="0", RIGHT(LEFT('0000Z'!$A$12, 5), 1)="/"), RIGHT(LEFT('0000Z'!$A$12, 5), 1), RIGHT(LEFT('0000Z'!$K$9, 2), 1))</f>
        <v>0</v>
      </c>
      <c r="R29" s="205" t="str">
        <f>IF(OR(Q29="0", Q29="/"), Q29, RIGHT(LEFT('0000Z'!$A$12, 5), 1))</f>
        <v>0</v>
      </c>
      <c r="S29" s="205" t="str">
        <f>IF(OR(Q29="0", Q29="/"), Q29, RIGHT(LEFT('0000Z'!$K$12, 5), 1))</f>
        <v>0</v>
      </c>
      <c r="T29" s="215" t="str">
        <f>IF(Q29="0","0000",IF(Q29="/","////",'0000Z'!$K$10))</f>
        <v>0000</v>
      </c>
      <c r="U29" s="215">
        <f>IF(Q29="/",P29,IFERROR(MIN(SUM(P29+Q29),8),Q29))</f>
        <v>8</v>
      </c>
      <c r="V29" s="207" t="str">
        <f>IF('0000Z'!$F$37="INAP","INAP",'0000Z'!$F$37)</f>
        <v>0.0</v>
      </c>
      <c r="W29" s="208">
        <f>IF('0000Z'!$F$29="","",'0000Z'!$F$29)</f>
        <v>31</v>
      </c>
      <c r="X29" s="208">
        <f>IF('0000Z'!$F$33="","",'0000Z'!$F$33)</f>
        <v>27</v>
      </c>
      <c r="Y29" s="216" t="str">
        <f>'0000Z'!$F$12</f>
        <v>30///</v>
      </c>
      <c r="Z29" s="206" t="s">
        <v>457</v>
      </c>
      <c r="AA29" s="164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</row>
    <row r="30" spans="2:71" x14ac:dyDescent="0.2">
      <c r="B30" s="201">
        <v>21</v>
      </c>
      <c r="C30" s="202"/>
      <c r="D30" s="203"/>
      <c r="E30" s="203"/>
      <c r="F30" s="211"/>
      <c r="G30" s="203"/>
      <c r="H30" s="203"/>
      <c r="I30" s="211"/>
      <c r="J30" s="211"/>
      <c r="K30" s="211"/>
      <c r="L30" s="202"/>
      <c r="M30" s="202"/>
      <c r="N30" s="202"/>
      <c r="O30" s="211"/>
      <c r="P30" s="211"/>
      <c r="Q30" s="202"/>
      <c r="R30" s="202"/>
      <c r="S30" s="202"/>
      <c r="T30" s="211"/>
      <c r="U30" s="211"/>
      <c r="V30" s="204"/>
      <c r="W30" s="204"/>
      <c r="X30" s="209"/>
      <c r="Y30" s="214"/>
      <c r="Z30" s="202"/>
      <c r="AA30" s="163"/>
    </row>
    <row r="31" spans="2:71" x14ac:dyDescent="0.2">
      <c r="B31" s="201">
        <v>22</v>
      </c>
      <c r="C31" s="202"/>
      <c r="D31" s="203"/>
      <c r="E31" s="203"/>
      <c r="F31" s="211"/>
      <c r="G31" s="203"/>
      <c r="H31" s="203"/>
      <c r="I31" s="211"/>
      <c r="J31" s="211"/>
      <c r="K31" s="211"/>
      <c r="L31" s="202"/>
      <c r="M31" s="202"/>
      <c r="N31" s="202"/>
      <c r="O31" s="211"/>
      <c r="P31" s="211"/>
      <c r="Q31" s="202"/>
      <c r="R31" s="202"/>
      <c r="S31" s="202"/>
      <c r="T31" s="211"/>
      <c r="U31" s="211"/>
      <c r="V31" s="204"/>
      <c r="W31" s="204"/>
      <c r="X31" s="209"/>
      <c r="Y31" s="214"/>
      <c r="Z31" s="202"/>
      <c r="AA31" s="163"/>
    </row>
    <row r="32" spans="2:71" s="52" customFormat="1" x14ac:dyDescent="0.2">
      <c r="B32" s="205">
        <v>23</v>
      </c>
      <c r="C32" s="205" t="str">
        <f>LEFT('0003Z'!$B$10, 1)</f>
        <v>5</v>
      </c>
      <c r="D32" s="205" t="str">
        <f>IF(OR('0003Z'!$N$9="", RIGHT(LEFT('0003Z'!$A$12, 3), 1)="0", RIGHT(LEFT('0003Z'!$A$12, 3), 1)="/"), "0", RIGHT(LEFT('0003Z'!$N$9, 2), 1))</f>
        <v>0</v>
      </c>
      <c r="E32" s="206">
        <v>0</v>
      </c>
      <c r="F32" s="215" t="str">
        <f>IF(D32="0","000",IF(D32="/","///",'0003Z'!$N$10))</f>
        <v>000</v>
      </c>
      <c r="G32" s="205" t="str">
        <f>IF(OR(RIGHT(LEFT('0003Z'!$A$12, 3), 1)=0, RIGHT(LEFT('0003Z'!$A$12, 3), 1)="/"), RIGHT(LEFT('0003Z'!$A$12, 3), 1), RIGHT(LEFT('0003Z'!$M$9, 2), 1))</f>
        <v>4</v>
      </c>
      <c r="H32" s="206">
        <v>8</v>
      </c>
      <c r="I32" s="253" t="str">
        <f>IF(OR(G32="0", G32="/"), G32, RIGHT(LEFT('0003Z'!$K$12, 3), 1))</f>
        <v>0</v>
      </c>
      <c r="J32" s="215">
        <f>IF(G32="0","000",IF(G32="/","///",'0003Z'!$M$10))</f>
        <v>610</v>
      </c>
      <c r="K32" s="215">
        <f>IFERROR(MIN(SUM(D32+G32),8),"")</f>
        <v>4</v>
      </c>
      <c r="L32" s="205" t="str">
        <f>IF(OR(RIGHT(LEFT('0003Z'!$A$12, 4), 1)="0", RIGHT(LEFT('0003Z'!$A$12, 4), 1)="/"), RIGHT(LEFT('0003Z'!$A$12, 4), 1), RIGHT(LEFT('0003Z'!$L$9, 2), 1))</f>
        <v>4</v>
      </c>
      <c r="M32" s="205" t="str">
        <f>IF(OR(L32="0", L32="/"), L32, RIGHT(LEFT('0003Z'!$A$12, 4), 1))</f>
        <v>7</v>
      </c>
      <c r="N32" s="205" t="str">
        <f>IF(OR(L32="0", L32="/"), L32, RIGHT(LEFT('0003Z'!$K$12, 4), 1))</f>
        <v>0</v>
      </c>
      <c r="O32" s="215">
        <f>IF(L32="0","0000",IF(L32="/","////",'0003Z'!$L$10))</f>
        <v>2438</v>
      </c>
      <c r="P32" s="215">
        <f>IF(L32="/",K32,IFERROR(MIN(SUM(K32+L32),8),L32))</f>
        <v>8</v>
      </c>
      <c r="Q32" s="205" t="str">
        <f>IF(OR(RIGHT(LEFT('0003Z'!$A$12, 5), 1)="0", RIGHT(LEFT('0003Z'!$A$12, 5), 1)="/"), RIGHT(LEFT('0003Z'!$A$12, 5), 1), RIGHT(LEFT('0003Z'!$K$9, 2), 1))</f>
        <v>0</v>
      </c>
      <c r="R32" s="205" t="str">
        <f>IF(OR(Q32="0", Q32="/"), Q32, RIGHT(LEFT('0003Z'!$A$12, 5), 1))</f>
        <v>0</v>
      </c>
      <c r="S32" s="205" t="str">
        <f>IF(OR(Q32="0", Q32="/"), Q32, RIGHT(LEFT('0003Z'!$K$12, 5), 1))</f>
        <v>0</v>
      </c>
      <c r="T32" s="215" t="str">
        <f>IF(Q32="0","0000",IF(Q32="/","////",'0003Z'!$K$10))</f>
        <v>0000</v>
      </c>
      <c r="U32" s="215">
        <f>IF(Q32="/",P32,IFERROR(MIN(SUM(P32+Q32),8),Q32))</f>
        <v>8</v>
      </c>
      <c r="V32" s="207">
        <f>IF('0003Z'!$F37="INAP","INAP",'0003Z'!$F37)</f>
        <v>0</v>
      </c>
      <c r="W32" s="208"/>
      <c r="X32" s="208"/>
      <c r="Y32" s="216" t="str">
        <f>'0003Z'!$F$12</f>
        <v>30///</v>
      </c>
      <c r="Z32" s="206" t="s">
        <v>457</v>
      </c>
      <c r="AA32" s="164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</row>
    <row r="33" spans="2:36" x14ac:dyDescent="0.2">
      <c r="B33" s="201">
        <v>24</v>
      </c>
      <c r="C33" s="202"/>
      <c r="D33" s="203"/>
      <c r="E33" s="203"/>
      <c r="F33" s="211"/>
      <c r="G33" s="203"/>
      <c r="H33" s="203"/>
      <c r="I33" s="211"/>
      <c r="J33" s="211"/>
      <c r="K33" s="211"/>
      <c r="L33" s="202"/>
      <c r="M33" s="202"/>
      <c r="N33" s="202"/>
      <c r="O33" s="211"/>
      <c r="P33" s="211"/>
      <c r="Q33" s="202"/>
      <c r="R33" s="202"/>
      <c r="S33" s="202"/>
      <c r="T33" s="211"/>
      <c r="U33" s="211"/>
      <c r="V33" s="209"/>
      <c r="W33" s="209"/>
      <c r="X33" s="209"/>
      <c r="Y33" s="214"/>
      <c r="Z33" s="202"/>
      <c r="AA33" s="163"/>
    </row>
    <row r="34" spans="2:36" ht="15" hidden="1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2:36" ht="15" hidden="1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2:36" ht="15" hidden="1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</sheetData>
  <sheetProtection algorithmName="SHA-512" hashValue="f3vwgQK/bYxLrGFkEmph2r+VBlQJVKsMatvCwDKlXdwSjSjaq8vZ5BawNq/YhaMEtwY2MHfLAL+k2iuXx7UqWQ==" saltValue="YJHUcMnL/eAoo298fEywLw==" spinCount="100000" sheet="1" objects="1" scenarios="1" formatCells="0" selectLockedCells="1"/>
  <mergeCells count="39">
    <mergeCell ref="B7:B9"/>
    <mergeCell ref="U7:U9"/>
    <mergeCell ref="V7:Y7"/>
    <mergeCell ref="B5:O6"/>
    <mergeCell ref="I8:I9"/>
    <mergeCell ref="M8:M9"/>
    <mergeCell ref="D7:F7"/>
    <mergeCell ref="J8:J9"/>
    <mergeCell ref="Y8:Y9"/>
    <mergeCell ref="W8:X8"/>
    <mergeCell ref="Q7:T7"/>
    <mergeCell ref="T8:T9"/>
    <mergeCell ref="P7:P9"/>
    <mergeCell ref="E8:E9"/>
    <mergeCell ref="F8:F9"/>
    <mergeCell ref="G7:J7"/>
    <mergeCell ref="P2:R2"/>
    <mergeCell ref="W2:X2"/>
    <mergeCell ref="S2:V2"/>
    <mergeCell ref="AC8:AE8"/>
    <mergeCell ref="Z7:Z9"/>
    <mergeCell ref="R8:R9"/>
    <mergeCell ref="S8:S9"/>
    <mergeCell ref="L7:O7"/>
    <mergeCell ref="O8:O9"/>
    <mergeCell ref="Y2:Z2"/>
    <mergeCell ref="P4:R4"/>
    <mergeCell ref="C7:C9"/>
    <mergeCell ref="N8:N9"/>
    <mergeCell ref="G8:G9"/>
    <mergeCell ref="H8:H9"/>
    <mergeCell ref="K7:K9"/>
    <mergeCell ref="L8:L9"/>
    <mergeCell ref="D8:D9"/>
    <mergeCell ref="P3:Q3"/>
    <mergeCell ref="S4:T4"/>
    <mergeCell ref="B3:O4"/>
    <mergeCell ref="B2:O2"/>
    <mergeCell ref="Q8:Q9"/>
  </mergeCells>
  <pageMargins left="0.78740157480314965" right="0.31496062992125984" top="0.23622047244094491" bottom="0.19685039370078741" header="0.11811023622047245" footer="0.11811023622047245"/>
  <pageSetup scale="123" orientation="landscape" horizontalDpi="4294967292" verticalDpi="300" r:id="rId1"/>
  <headerFooter alignWithMargins="0"/>
  <colBreaks count="1" manualBreakCount="1">
    <brk id="26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theme="5"/>
  </sheetPr>
  <dimension ref="A1:BE62"/>
  <sheetViews>
    <sheetView showGridLines="0" showRowColHeaders="0" topLeftCell="A5" zoomScaleNormal="100" zoomScaleSheetLayoutView="70" workbookViewId="0">
      <selection activeCell="AF15" sqref="AF15:AH15"/>
    </sheetView>
  </sheetViews>
  <sheetFormatPr baseColWidth="10" defaultColWidth="0" defaultRowHeight="12.75" zeroHeight="1" x14ac:dyDescent="0.2"/>
  <cols>
    <col min="1" max="1" width="0.28515625" style="49" customWidth="1"/>
    <col min="2" max="2" width="2.5703125" style="175" customWidth="1"/>
    <col min="3" max="3" width="2.28515625" style="175" customWidth="1"/>
    <col min="4" max="8" width="2.5703125" style="175" customWidth="1"/>
    <col min="9" max="9" width="3.5703125" style="175" customWidth="1"/>
    <col min="10" max="10" width="3.28515625" style="175" customWidth="1"/>
    <col min="11" max="12" width="2.5703125" style="175" customWidth="1"/>
    <col min="13" max="13" width="2.28515625" style="175" customWidth="1"/>
    <col min="14" max="20" width="2.5703125" style="175" customWidth="1"/>
    <col min="21" max="21" width="3.140625" style="175" customWidth="1"/>
    <col min="22" max="26" width="2.5703125" style="175" customWidth="1"/>
    <col min="27" max="27" width="3.7109375" style="175" customWidth="1"/>
    <col min="28" max="28" width="5.140625" style="175" customWidth="1"/>
    <col min="29" max="29" width="3" style="175" customWidth="1"/>
    <col min="30" max="30" width="3.28515625" style="175" customWidth="1"/>
    <col min="31" max="31" width="3.85546875" style="175" customWidth="1"/>
    <col min="32" max="32" width="2.5703125" style="175" customWidth="1"/>
    <col min="33" max="33" width="4.140625" style="175" customWidth="1"/>
    <col min="34" max="34" width="3.140625" style="175" customWidth="1"/>
    <col min="35" max="36" width="2.85546875" style="175" customWidth="1"/>
    <col min="37" max="37" width="3.28515625" style="175" customWidth="1"/>
    <col min="38" max="38" width="9.7109375" style="175" customWidth="1"/>
    <col min="39" max="39" width="3.7109375" style="175" customWidth="1"/>
    <col min="40" max="40" width="1.5703125" style="175" bestFit="1" customWidth="1"/>
    <col min="41" max="42" width="3.28515625" style="175" customWidth="1"/>
    <col min="43" max="45" width="2.85546875" style="175" customWidth="1"/>
    <col min="46" max="48" width="2.5703125" style="175" customWidth="1"/>
    <col min="49" max="49" width="3.140625" style="175" customWidth="1"/>
    <col min="50" max="50" width="0.7109375" style="175" customWidth="1"/>
    <col min="51" max="51" width="12.85546875" style="175" customWidth="1"/>
    <col min="52" max="52" width="14.7109375" style="175" customWidth="1"/>
    <col min="53" max="55" width="2" style="49" hidden="1" customWidth="1"/>
    <col min="56" max="56" width="2.42578125" style="49" hidden="1" customWidth="1"/>
    <col min="57" max="16384" width="2.28515625" style="49" hidden="1"/>
  </cols>
  <sheetData>
    <row r="1" spans="2:57" ht="3.75" customHeight="1" thickBot="1" x14ac:dyDescent="0.25"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</row>
    <row r="2" spans="2:57" ht="18.75" customHeight="1" x14ac:dyDescent="0.3">
      <c r="B2" s="455" t="s">
        <v>302</v>
      </c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6"/>
      <c r="U2" s="456"/>
      <c r="V2" s="456"/>
      <c r="W2" s="456"/>
      <c r="X2" s="456"/>
      <c r="Y2" s="456"/>
      <c r="Z2" s="456"/>
      <c r="AA2" s="456"/>
      <c r="AB2" s="466" t="s">
        <v>306</v>
      </c>
      <c r="AC2" s="467"/>
      <c r="AD2" s="467"/>
      <c r="AE2" s="381" t="str">
        <f>IF(AP2="","",VLOOKUP(AP2,FORMULAS!O:T,2,FALSE))</f>
        <v>Central</v>
      </c>
      <c r="AF2" s="381"/>
      <c r="AG2" s="381"/>
      <c r="AH2" s="381"/>
      <c r="AI2" s="247"/>
      <c r="AJ2" s="467" t="s">
        <v>312</v>
      </c>
      <c r="AK2" s="467"/>
      <c r="AL2" s="467"/>
      <c r="AM2" s="467"/>
      <c r="AN2" s="467"/>
      <c r="AO2" s="467"/>
      <c r="AP2" s="381">
        <f>IF('0006Z'!C8="","",'0006Z'!C8)</f>
        <v>78486</v>
      </c>
      <c r="AQ2" s="381"/>
      <c r="AR2" s="381"/>
      <c r="AS2" s="381"/>
      <c r="AT2" s="247"/>
      <c r="AU2" s="247"/>
      <c r="AV2" s="247"/>
      <c r="AW2" s="248"/>
    </row>
    <row r="3" spans="2:57" ht="19.5" customHeight="1" x14ac:dyDescent="0.25">
      <c r="B3" s="457" t="s">
        <v>284</v>
      </c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  <c r="R3" s="458"/>
      <c r="S3" s="458"/>
      <c r="T3" s="458"/>
      <c r="U3" s="458"/>
      <c r="V3" s="458"/>
      <c r="W3" s="458"/>
      <c r="X3" s="458"/>
      <c r="Y3" s="458"/>
      <c r="Z3" s="458"/>
      <c r="AA3" s="458"/>
      <c r="AB3" s="468" t="s">
        <v>310</v>
      </c>
      <c r="AC3" s="469"/>
      <c r="AD3" s="469"/>
      <c r="AE3" s="383" t="str">
        <f>IF(AP2="","",LEFT(VLOOKUP(AP2,FORMULAS!O:T,4,FALSE),2))</f>
        <v>18</v>
      </c>
      <c r="AF3" s="383"/>
      <c r="AG3" s="246" t="s">
        <v>253</v>
      </c>
      <c r="AH3" s="383" t="str">
        <f>IF(AP2="","",MID(TEXT(VLOOKUP(AP2,FORMULAS!O:T,4,FALSE),"0.0000"),4,2))&amp;"''"</f>
        <v>47''</v>
      </c>
      <c r="AI3" s="383"/>
      <c r="AJ3" s="199" t="s">
        <v>171</v>
      </c>
      <c r="AK3" s="245"/>
      <c r="AL3" s="469" t="s">
        <v>290</v>
      </c>
      <c r="AM3" s="383" t="str">
        <f>IF(AP2="","",LEFT(ABS(VLOOKUP(AP2,FORMULAS!O:T,5,FALSE)),2))</f>
        <v>69</v>
      </c>
      <c r="AN3" s="383"/>
      <c r="AO3" s="246" t="s">
        <v>253</v>
      </c>
      <c r="AP3" s="383" t="str">
        <f>IF(AP2="","",MID(TEXT(ABS(VLOOKUP(AP2,FORMULAS!O:T,5,FALSE)),"0.0000"),4,2))&amp;"''"</f>
        <v>87''</v>
      </c>
      <c r="AQ3" s="383"/>
      <c r="AR3" s="199" t="s">
        <v>291</v>
      </c>
      <c r="AS3" s="245"/>
      <c r="AT3" s="245"/>
      <c r="AU3" s="245"/>
      <c r="AV3" s="245"/>
      <c r="AW3" s="249"/>
    </row>
    <row r="4" spans="2:57" ht="17.25" customHeight="1" x14ac:dyDescent="0.2">
      <c r="B4" s="459"/>
      <c r="C4" s="460"/>
      <c r="D4" s="460"/>
      <c r="E4" s="460"/>
      <c r="F4" s="460"/>
      <c r="G4" s="460"/>
      <c r="H4" s="460"/>
      <c r="I4" s="460"/>
      <c r="J4" s="460"/>
      <c r="K4" s="460"/>
      <c r="L4" s="460"/>
      <c r="M4" s="460"/>
      <c r="N4" s="460"/>
      <c r="O4" s="460"/>
      <c r="P4" s="460"/>
      <c r="Q4" s="460"/>
      <c r="R4" s="460"/>
      <c r="S4" s="460"/>
      <c r="T4" s="460"/>
      <c r="U4" s="460"/>
      <c r="V4" s="460"/>
      <c r="W4" s="460"/>
      <c r="X4" s="460"/>
      <c r="Y4" s="460"/>
      <c r="Z4" s="460"/>
      <c r="AA4" s="460"/>
      <c r="AB4" s="468"/>
      <c r="AC4" s="469"/>
      <c r="AD4" s="469"/>
      <c r="AE4" s="245"/>
      <c r="AF4" s="245"/>
      <c r="AG4" s="245"/>
      <c r="AH4" s="245"/>
      <c r="AI4" s="245"/>
      <c r="AJ4" s="245"/>
      <c r="AK4" s="245"/>
      <c r="AL4" s="469"/>
      <c r="AM4" s="245"/>
      <c r="AN4" s="245"/>
      <c r="AO4" s="245"/>
      <c r="AP4" s="245"/>
      <c r="AQ4" s="245"/>
      <c r="AR4" s="245"/>
      <c r="AS4" s="245"/>
      <c r="AT4" s="245"/>
      <c r="AU4" s="245"/>
      <c r="AV4" s="245"/>
      <c r="AW4" s="249"/>
    </row>
    <row r="5" spans="2:57" ht="17.25" customHeight="1" x14ac:dyDescent="0.25">
      <c r="B5" s="480" t="s">
        <v>313</v>
      </c>
      <c r="C5" s="481"/>
      <c r="D5" s="481"/>
      <c r="E5" s="481"/>
      <c r="F5" s="481"/>
      <c r="G5" s="481"/>
      <c r="H5" s="481"/>
      <c r="I5" s="481"/>
      <c r="J5" s="481"/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468" t="s">
        <v>311</v>
      </c>
      <c r="AC5" s="469"/>
      <c r="AD5" s="469"/>
      <c r="AE5" s="491">
        <f>IF(AP2="","",VLOOKUP(AP2,FORMULAS!O:T,6,FALSE))</f>
        <v>14</v>
      </c>
      <c r="AF5" s="491"/>
      <c r="AG5" s="491"/>
      <c r="AH5" s="199" t="s">
        <v>227</v>
      </c>
      <c r="AI5" s="245"/>
      <c r="AJ5" s="440" t="s">
        <v>294</v>
      </c>
      <c r="AK5" s="440"/>
      <c r="AL5" s="274">
        <v>1</v>
      </c>
      <c r="AM5" s="440" t="s">
        <v>252</v>
      </c>
      <c r="AN5" s="440"/>
      <c r="AO5" s="342" t="s">
        <v>349</v>
      </c>
      <c r="AP5" s="342"/>
      <c r="AQ5" s="342"/>
      <c r="AR5" s="245"/>
      <c r="AS5" s="440" t="s">
        <v>251</v>
      </c>
      <c r="AT5" s="440"/>
      <c r="AU5" s="342">
        <v>2026</v>
      </c>
      <c r="AV5" s="342"/>
      <c r="AW5" s="249"/>
    </row>
    <row r="6" spans="2:57" ht="15" customHeight="1" x14ac:dyDescent="0.2">
      <c r="B6" s="482"/>
      <c r="C6" s="483"/>
      <c r="D6" s="483"/>
      <c r="E6" s="483"/>
      <c r="F6" s="483"/>
      <c r="G6" s="483"/>
      <c r="H6" s="483"/>
      <c r="I6" s="483"/>
      <c r="J6" s="483"/>
      <c r="K6" s="483"/>
      <c r="L6" s="483"/>
      <c r="M6" s="483"/>
      <c r="N6" s="483"/>
      <c r="O6" s="483"/>
      <c r="P6" s="483"/>
      <c r="Q6" s="483"/>
      <c r="R6" s="483"/>
      <c r="S6" s="483"/>
      <c r="T6" s="483"/>
      <c r="U6" s="483"/>
      <c r="V6" s="483"/>
      <c r="W6" s="483"/>
      <c r="X6" s="483"/>
      <c r="Y6" s="483"/>
      <c r="Z6" s="483"/>
      <c r="AA6" s="483"/>
      <c r="AB6" s="492"/>
      <c r="AC6" s="493"/>
      <c r="AD6" s="493"/>
      <c r="AE6" s="244"/>
      <c r="AF6" s="244"/>
      <c r="AG6" s="244"/>
      <c r="AH6" s="244"/>
      <c r="AI6" s="244"/>
      <c r="AJ6" s="244"/>
      <c r="AK6" s="244"/>
      <c r="AL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50"/>
    </row>
    <row r="7" spans="2:57" ht="17.25" customHeight="1" x14ac:dyDescent="0.2">
      <c r="B7" s="450" t="s">
        <v>276</v>
      </c>
      <c r="C7" s="451"/>
      <c r="D7" s="451"/>
      <c r="E7" s="451"/>
      <c r="F7" s="451"/>
      <c r="G7" s="451"/>
      <c r="H7" s="451"/>
      <c r="I7" s="451" t="s">
        <v>192</v>
      </c>
      <c r="J7" s="451"/>
      <c r="K7" s="451"/>
      <c r="L7" s="451"/>
      <c r="M7" s="451"/>
      <c r="N7" s="451"/>
      <c r="O7" s="451"/>
      <c r="P7" s="451"/>
      <c r="Q7" s="451"/>
      <c r="R7" s="451" t="s">
        <v>191</v>
      </c>
      <c r="S7" s="451"/>
      <c r="T7" s="451"/>
      <c r="U7" s="451"/>
      <c r="V7" s="451" t="s">
        <v>275</v>
      </c>
      <c r="W7" s="451"/>
      <c r="X7" s="451"/>
      <c r="Y7" s="451"/>
      <c r="Z7" s="451"/>
      <c r="AA7" s="451"/>
      <c r="AB7" s="484"/>
      <c r="AC7" s="484"/>
      <c r="AD7" s="484"/>
      <c r="AE7" s="484"/>
      <c r="AF7" s="484" t="s">
        <v>274</v>
      </c>
      <c r="AG7" s="484"/>
      <c r="AH7" s="484"/>
      <c r="AI7" s="484" t="s">
        <v>190</v>
      </c>
      <c r="AJ7" s="484"/>
      <c r="AK7" s="484"/>
      <c r="AL7" s="227" t="s">
        <v>189</v>
      </c>
      <c r="AM7" s="464" t="s">
        <v>273</v>
      </c>
      <c r="AN7" s="464"/>
      <c r="AO7" s="464"/>
      <c r="AP7" s="464"/>
      <c r="AQ7" s="465" t="s">
        <v>285</v>
      </c>
      <c r="AR7" s="465"/>
      <c r="AS7" s="465"/>
      <c r="AT7" s="477" t="s">
        <v>272</v>
      </c>
      <c r="AU7" s="478"/>
      <c r="AV7" s="478"/>
      <c r="AW7" s="479"/>
    </row>
    <row r="8" spans="2:57" ht="17.25" customHeight="1" x14ac:dyDescent="0.2">
      <c r="B8" s="488" t="s">
        <v>271</v>
      </c>
      <c r="C8" s="454"/>
      <c r="D8" s="454"/>
      <c r="E8" s="454" t="s">
        <v>270</v>
      </c>
      <c r="F8" s="454"/>
      <c r="G8" s="454"/>
      <c r="H8" s="454"/>
      <c r="I8" s="489" t="s">
        <v>188</v>
      </c>
      <c r="J8" s="454"/>
      <c r="K8" s="490" t="s">
        <v>314</v>
      </c>
      <c r="L8" s="454"/>
      <c r="M8" s="454"/>
      <c r="N8" s="454" t="s">
        <v>317</v>
      </c>
      <c r="O8" s="454"/>
      <c r="P8" s="454"/>
      <c r="Q8" s="454"/>
      <c r="R8" s="454" t="s">
        <v>315</v>
      </c>
      <c r="S8" s="454"/>
      <c r="T8" s="454" t="s">
        <v>316</v>
      </c>
      <c r="U8" s="454"/>
      <c r="V8" s="470" t="s">
        <v>271</v>
      </c>
      <c r="W8" s="471"/>
      <c r="X8" s="471"/>
      <c r="Y8" s="471"/>
      <c r="Z8" s="471"/>
      <c r="AA8" s="472"/>
      <c r="AB8" s="470" t="s">
        <v>270</v>
      </c>
      <c r="AC8" s="471"/>
      <c r="AD8" s="471"/>
      <c r="AE8" s="472"/>
      <c r="AF8" s="454" t="s">
        <v>187</v>
      </c>
      <c r="AG8" s="454"/>
      <c r="AH8" s="454"/>
      <c r="AI8" s="454" t="s">
        <v>186</v>
      </c>
      <c r="AJ8" s="454"/>
      <c r="AK8" s="454"/>
      <c r="AL8" s="252" t="s">
        <v>179</v>
      </c>
      <c r="AM8" s="454" t="s">
        <v>179</v>
      </c>
      <c r="AN8" s="454"/>
      <c r="AO8" s="454"/>
      <c r="AP8" s="454"/>
      <c r="AQ8" s="454" t="s">
        <v>286</v>
      </c>
      <c r="AR8" s="454"/>
      <c r="AS8" s="454"/>
      <c r="AT8" s="485" t="s">
        <v>269</v>
      </c>
      <c r="AU8" s="486"/>
      <c r="AV8" s="486"/>
      <c r="AW8" s="487"/>
    </row>
    <row r="9" spans="2:57" ht="17.25" customHeight="1" x14ac:dyDescent="0.2">
      <c r="B9" s="452">
        <f>MAX('4074'!W11,'4074'!W17,'4074'!W23,'4074'!W29)</f>
        <v>31</v>
      </c>
      <c r="C9" s="453"/>
      <c r="D9" s="453"/>
      <c r="E9" s="453">
        <f>MIN('4074'!X11,'4074'!X17,'4074'!X23,'4074'!X29)</f>
        <v>23</v>
      </c>
      <c r="F9" s="453"/>
      <c r="G9" s="453"/>
      <c r="H9" s="453"/>
      <c r="I9" s="211"/>
      <c r="J9" s="211"/>
      <c r="K9" s="431"/>
      <c r="L9" s="432"/>
      <c r="M9" s="433"/>
      <c r="N9" s="431"/>
      <c r="O9" s="433"/>
      <c r="P9" s="431"/>
      <c r="Q9" s="433"/>
      <c r="R9" s="438">
        <f>MAX('3074'!L11,'3074'!L14,'3074'!L17,'3074'!L20,'3074'!L23,'3074'!L26,'3074'!L29,'3074'!L32)</f>
        <v>88.507039245116019</v>
      </c>
      <c r="S9" s="439"/>
      <c r="T9" s="438">
        <f>MIN('3074'!L11,'3074'!L14,'3074'!L17,'3074'!L20,'3074'!L23,'3074'!L26,'3074'!L29,'3074'!L32)</f>
        <v>62.264414907642553</v>
      </c>
      <c r="U9" s="439"/>
      <c r="V9" s="473">
        <f>MAX('3074'!D11,'3074'!D14,'3074'!D17,'3074'!D20,'3074'!D23,'3074'!D26,'3074'!D29,'3074'!D32)</f>
        <v>1017.1</v>
      </c>
      <c r="W9" s="474"/>
      <c r="X9" s="474"/>
      <c r="Y9" s="474"/>
      <c r="Z9" s="474"/>
      <c r="AA9" s="475"/>
      <c r="AB9" s="473">
        <f>MIN('3074'!D11,'3074'!D14,'3074'!D17,'3074'!D20,'3074'!D23,'3074'!D26,'3074'!D29,'3074'!D32)</f>
        <v>1014.1</v>
      </c>
      <c r="AC9" s="474"/>
      <c r="AD9" s="474"/>
      <c r="AE9" s="475"/>
      <c r="AF9" s="447"/>
      <c r="AG9" s="448"/>
      <c r="AH9" s="449"/>
      <c r="AI9" s="447"/>
      <c r="AJ9" s="448"/>
      <c r="AK9" s="449"/>
      <c r="AL9" s="228"/>
      <c r="AM9" s="444"/>
      <c r="AN9" s="445"/>
      <c r="AO9" s="445"/>
      <c r="AP9" s="446"/>
      <c r="AQ9" s="444"/>
      <c r="AR9" s="445"/>
      <c r="AS9" s="446"/>
      <c r="AT9" s="435"/>
      <c r="AU9" s="436"/>
      <c r="AV9" s="436"/>
      <c r="AW9" s="437"/>
    </row>
    <row r="10" spans="2:57" ht="17.25" customHeight="1" x14ac:dyDescent="0.2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W10" s="196"/>
    </row>
    <row r="11" spans="2:57" ht="18" customHeigh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76" t="s">
        <v>268</v>
      </c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6"/>
      <c r="AS11" s="476"/>
      <c r="AT11" s="476"/>
      <c r="AU11" s="476"/>
      <c r="AV11" s="476"/>
      <c r="AW11" s="196"/>
    </row>
    <row r="12" spans="2:57" ht="18" customHeight="1" thickBot="1" x14ac:dyDescent="0.25">
      <c r="AD12" s="570" t="s">
        <v>185</v>
      </c>
      <c r="AE12" s="571"/>
      <c r="AF12" s="428">
        <v>5</v>
      </c>
      <c r="AG12" s="429"/>
      <c r="AH12" s="430"/>
      <c r="AI12" s="428">
        <v>10</v>
      </c>
      <c r="AJ12" s="429"/>
      <c r="AK12" s="430"/>
      <c r="AL12" s="231">
        <v>15</v>
      </c>
      <c r="AM12" s="428">
        <v>20</v>
      </c>
      <c r="AN12" s="430"/>
      <c r="AO12" s="428">
        <v>25</v>
      </c>
      <c r="AP12" s="430"/>
      <c r="AQ12" s="428">
        <v>50</v>
      </c>
      <c r="AR12" s="429"/>
      <c r="AS12" s="430"/>
      <c r="AT12" s="428">
        <v>100</v>
      </c>
      <c r="AU12" s="429"/>
      <c r="AV12" s="430"/>
      <c r="AW12" s="196"/>
      <c r="AZ12" s="175" t="s">
        <v>267</v>
      </c>
      <c r="BE12" s="49" t="s">
        <v>34</v>
      </c>
    </row>
    <row r="13" spans="2:57" ht="18" customHeight="1" x14ac:dyDescent="0.2">
      <c r="B13" s="461" t="s">
        <v>153</v>
      </c>
      <c r="C13" s="462"/>
      <c r="D13" s="462"/>
      <c r="E13" s="462"/>
      <c r="F13" s="462"/>
      <c r="G13" s="463"/>
      <c r="H13" s="230"/>
      <c r="I13" s="494">
        <v>2</v>
      </c>
      <c r="J13" s="495"/>
      <c r="K13" s="495"/>
      <c r="L13" s="496"/>
      <c r="N13" s="494">
        <v>8</v>
      </c>
      <c r="O13" s="495"/>
      <c r="P13" s="495"/>
      <c r="Q13" s="496"/>
      <c r="R13" s="230"/>
      <c r="S13" s="494">
        <v>14</v>
      </c>
      <c r="T13" s="495"/>
      <c r="U13" s="495"/>
      <c r="V13" s="496"/>
      <c r="W13" s="230"/>
      <c r="X13" s="494">
        <v>20</v>
      </c>
      <c r="Y13" s="495"/>
      <c r="Z13" s="495"/>
      <c r="AA13" s="496"/>
      <c r="AD13" s="570" t="s">
        <v>286</v>
      </c>
      <c r="AE13" s="571"/>
      <c r="AF13" s="431">
        <v>25.2</v>
      </c>
      <c r="AG13" s="432"/>
      <c r="AH13" s="433"/>
      <c r="AI13" s="431"/>
      <c r="AJ13" s="432"/>
      <c r="AK13" s="433"/>
      <c r="AL13" s="211">
        <v>25.4</v>
      </c>
      <c r="AM13" s="431"/>
      <c r="AN13" s="432"/>
      <c r="AO13" s="434"/>
      <c r="AP13" s="434"/>
      <c r="AQ13" s="431">
        <v>29.4</v>
      </c>
      <c r="AR13" s="432"/>
      <c r="AS13" s="433"/>
      <c r="AT13" s="431">
        <v>28</v>
      </c>
      <c r="AU13" s="432"/>
      <c r="AV13" s="433"/>
      <c r="AW13" s="196"/>
    </row>
    <row r="14" spans="2:57" ht="18" customHeight="1" thickBot="1" x14ac:dyDescent="0.3">
      <c r="B14" s="461" t="s">
        <v>184</v>
      </c>
      <c r="C14" s="462"/>
      <c r="D14" s="462"/>
      <c r="E14" s="462"/>
      <c r="F14" s="462"/>
      <c r="G14" s="463"/>
      <c r="H14" s="230"/>
      <c r="I14" s="500"/>
      <c r="J14" s="501"/>
      <c r="K14" s="501"/>
      <c r="L14" s="502"/>
      <c r="M14" s="230"/>
      <c r="N14" s="497"/>
      <c r="O14" s="498"/>
      <c r="P14" s="498"/>
      <c r="Q14" s="499"/>
      <c r="R14" s="230"/>
      <c r="S14" s="500"/>
      <c r="T14" s="501"/>
      <c r="U14" s="501"/>
      <c r="V14" s="502"/>
      <c r="W14" s="230"/>
      <c r="X14" s="500"/>
      <c r="Y14" s="501"/>
      <c r="Z14" s="501"/>
      <c r="AA14" s="502"/>
      <c r="AD14"/>
      <c r="AE14"/>
      <c r="AF14" s="431">
        <v>33</v>
      </c>
      <c r="AG14" s="432"/>
      <c r="AH14" s="433"/>
      <c r="AI14" s="431"/>
      <c r="AJ14" s="432"/>
      <c r="AK14" s="433"/>
      <c r="AL14" s="211">
        <v>34.200000000000003</v>
      </c>
      <c r="AM14" s="431"/>
      <c r="AN14" s="432"/>
      <c r="AO14" s="434"/>
      <c r="AP14" s="434"/>
      <c r="AQ14" s="431">
        <v>29</v>
      </c>
      <c r="AR14" s="432"/>
      <c r="AS14" s="433"/>
      <c r="AT14" s="431">
        <v>28</v>
      </c>
      <c r="AU14" s="432"/>
      <c r="AV14" s="433"/>
      <c r="AW14" s="196"/>
    </row>
    <row r="15" spans="2:57" ht="18" customHeight="1" x14ac:dyDescent="0.25">
      <c r="B15" s="461" t="s">
        <v>266</v>
      </c>
      <c r="C15" s="462"/>
      <c r="D15" s="462"/>
      <c r="E15" s="462"/>
      <c r="F15" s="462"/>
      <c r="G15" s="463"/>
      <c r="H15" s="232"/>
      <c r="I15" s="233"/>
      <c r="J15" s="497"/>
      <c r="K15" s="498"/>
      <c r="L15" s="499"/>
      <c r="M15" s="232"/>
      <c r="N15" s="233"/>
      <c r="O15" s="497"/>
      <c r="P15" s="498"/>
      <c r="Q15" s="499"/>
      <c r="R15" s="232"/>
      <c r="S15" s="233"/>
      <c r="T15" s="497"/>
      <c r="U15" s="498"/>
      <c r="V15" s="499"/>
      <c r="W15" s="232"/>
      <c r="X15" s="233"/>
      <c r="Y15" s="497"/>
      <c r="Z15" s="498"/>
      <c r="AA15" s="499"/>
      <c r="AD15"/>
      <c r="AE15"/>
      <c r="AF15" s="431">
        <v>28</v>
      </c>
      <c r="AG15" s="432"/>
      <c r="AH15" s="433"/>
      <c r="AI15" s="431"/>
      <c r="AJ15" s="432"/>
      <c r="AK15" s="433"/>
      <c r="AL15" s="211">
        <v>28.4</v>
      </c>
      <c r="AM15" s="431"/>
      <c r="AN15" s="432"/>
      <c r="AO15" s="434"/>
      <c r="AP15" s="434"/>
      <c r="AQ15" s="431">
        <v>29.4</v>
      </c>
      <c r="AR15" s="432"/>
      <c r="AS15" s="433"/>
      <c r="AT15" s="431">
        <v>28.2</v>
      </c>
      <c r="AU15" s="432"/>
      <c r="AV15" s="433"/>
      <c r="AW15" s="196"/>
    </row>
    <row r="16" spans="2:57" ht="18" customHeight="1" thickBot="1" x14ac:dyDescent="0.25">
      <c r="B16" s="461" t="s">
        <v>265</v>
      </c>
      <c r="C16" s="462"/>
      <c r="D16" s="462"/>
      <c r="E16" s="462"/>
      <c r="F16" s="462"/>
      <c r="G16" s="463"/>
      <c r="H16" s="232"/>
      <c r="I16" s="234"/>
      <c r="J16" s="497"/>
      <c r="K16" s="498"/>
      <c r="L16" s="499"/>
      <c r="M16" s="232"/>
      <c r="N16" s="234"/>
      <c r="O16" s="497"/>
      <c r="P16" s="498"/>
      <c r="Q16" s="499"/>
      <c r="R16" s="232"/>
      <c r="S16" s="234"/>
      <c r="T16" s="497"/>
      <c r="U16" s="498"/>
      <c r="V16" s="499"/>
      <c r="W16" s="232"/>
      <c r="X16" s="234"/>
      <c r="Y16" s="497"/>
      <c r="Z16" s="498"/>
      <c r="AA16" s="49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196"/>
    </row>
    <row r="17" spans="1:49" ht="18" customHeight="1" x14ac:dyDescent="0.2">
      <c r="B17" s="461" t="s">
        <v>264</v>
      </c>
      <c r="C17" s="462"/>
      <c r="D17" s="462"/>
      <c r="E17" s="462"/>
      <c r="F17" s="462"/>
      <c r="G17" s="463"/>
      <c r="H17" s="230"/>
      <c r="I17" s="558">
        <f>'3074'!C11</f>
        <v>1014.2</v>
      </c>
      <c r="J17" s="559"/>
      <c r="K17" s="559"/>
      <c r="L17" s="560"/>
      <c r="M17" s="236"/>
      <c r="N17" s="558">
        <f>'3074'!C17</f>
        <v>1014.5</v>
      </c>
      <c r="O17" s="559"/>
      <c r="P17" s="559"/>
      <c r="Q17" s="560"/>
      <c r="R17" s="236"/>
      <c r="S17" s="558">
        <f>'3074'!C23</f>
        <v>1013.8</v>
      </c>
      <c r="T17" s="559"/>
      <c r="U17" s="559"/>
      <c r="V17" s="560"/>
      <c r="W17" s="236"/>
      <c r="X17" s="558">
        <f>'3074'!C29</f>
        <v>1014</v>
      </c>
      <c r="Y17" s="559"/>
      <c r="Z17" s="559"/>
      <c r="AA17" s="560"/>
      <c r="AF17" s="512" t="s">
        <v>183</v>
      </c>
      <c r="AG17" s="512"/>
      <c r="AH17" s="512"/>
      <c r="AI17" s="512"/>
      <c r="AJ17" s="512"/>
      <c r="AK17" s="512"/>
      <c r="AL17" s="512"/>
      <c r="AM17" s="512"/>
      <c r="AN17" s="512"/>
      <c r="AO17" s="512"/>
      <c r="AP17" s="512"/>
      <c r="AQ17" s="512"/>
      <c r="AR17" s="512"/>
      <c r="AS17" s="512"/>
      <c r="AT17" s="512"/>
      <c r="AU17" s="512"/>
      <c r="AV17" s="512"/>
      <c r="AW17" s="196"/>
    </row>
    <row r="18" spans="1:49" ht="15" customHeight="1" x14ac:dyDescent="0.2">
      <c r="B18" s="461" t="s">
        <v>262</v>
      </c>
      <c r="C18" s="462"/>
      <c r="D18" s="462"/>
      <c r="E18" s="462"/>
      <c r="F18" s="462"/>
      <c r="G18" s="463"/>
      <c r="H18" s="230"/>
      <c r="I18" s="561">
        <f>'0006Z'!C33</f>
        <v>1.6</v>
      </c>
      <c r="J18" s="562"/>
      <c r="K18" s="562"/>
      <c r="L18" s="563"/>
      <c r="M18" s="238"/>
      <c r="N18" s="561">
        <f>'0006Z'!C33</f>
        <v>1.6</v>
      </c>
      <c r="O18" s="562"/>
      <c r="P18" s="562"/>
      <c r="Q18" s="563"/>
      <c r="R18" s="236"/>
      <c r="S18" s="561">
        <f>'0006Z'!C33</f>
        <v>1.6</v>
      </c>
      <c r="T18" s="562"/>
      <c r="U18" s="562"/>
      <c r="V18" s="563"/>
      <c r="W18" s="236"/>
      <c r="X18" s="561">
        <f>'0006Z'!C33</f>
        <v>1.6</v>
      </c>
      <c r="Y18" s="562"/>
      <c r="Z18" s="562"/>
      <c r="AA18" s="563"/>
      <c r="AF18" s="513" t="s">
        <v>182</v>
      </c>
      <c r="AG18" s="514"/>
      <c r="AH18" s="513" t="s">
        <v>181</v>
      </c>
      <c r="AI18" s="515"/>
      <c r="AJ18" s="515"/>
      <c r="AK18" s="514"/>
      <c r="AL18" s="235" t="s">
        <v>263</v>
      </c>
      <c r="AM18" s="516" t="s">
        <v>180</v>
      </c>
      <c r="AN18" s="517"/>
      <c r="AO18" s="517"/>
      <c r="AP18" s="517"/>
      <c r="AQ18" s="517"/>
      <c r="AR18" s="517"/>
      <c r="AS18" s="517"/>
      <c r="AT18" s="517"/>
      <c r="AU18" s="517"/>
      <c r="AV18" s="518"/>
      <c r="AW18" s="196"/>
    </row>
    <row r="19" spans="1:49" ht="18" customHeight="1" thickBot="1" x14ac:dyDescent="0.25">
      <c r="A19" s="172"/>
      <c r="B19" s="461" t="s">
        <v>261</v>
      </c>
      <c r="C19" s="462"/>
      <c r="D19" s="462"/>
      <c r="E19" s="462"/>
      <c r="F19" s="462"/>
      <c r="G19" s="463"/>
      <c r="H19" s="230"/>
      <c r="I19" s="564">
        <f>IFERROR(+I17+I18,"")</f>
        <v>1015.8000000000001</v>
      </c>
      <c r="J19" s="565"/>
      <c r="K19" s="565"/>
      <c r="L19" s="566"/>
      <c r="M19" s="236"/>
      <c r="N19" s="564">
        <f>IFERROR(+N17+N18,"")</f>
        <v>1016.1</v>
      </c>
      <c r="O19" s="565"/>
      <c r="P19" s="565"/>
      <c r="Q19" s="566"/>
      <c r="R19" s="236"/>
      <c r="S19" s="564">
        <f>IFERROR(+S18+S17,"")</f>
        <v>1015.4</v>
      </c>
      <c r="T19" s="565"/>
      <c r="U19" s="565"/>
      <c r="V19" s="566"/>
      <c r="W19" s="236"/>
      <c r="X19" s="564">
        <f>IFERROR(+X18+X17,"")</f>
        <v>1015.6</v>
      </c>
      <c r="Y19" s="565"/>
      <c r="Z19" s="565"/>
      <c r="AA19" s="566"/>
      <c r="AF19" s="525" t="s">
        <v>179</v>
      </c>
      <c r="AG19" s="526"/>
      <c r="AH19" s="525" t="s">
        <v>179</v>
      </c>
      <c r="AI19" s="527"/>
      <c r="AJ19" s="527"/>
      <c r="AK19" s="526"/>
      <c r="AL19" s="237" t="s">
        <v>179</v>
      </c>
      <c r="AM19" s="519" t="s">
        <v>348</v>
      </c>
      <c r="AN19" s="520"/>
      <c r="AO19" s="520"/>
      <c r="AP19" s="520"/>
      <c r="AQ19" s="520"/>
      <c r="AR19" s="520"/>
      <c r="AS19" s="520"/>
      <c r="AT19" s="520"/>
      <c r="AU19" s="520"/>
      <c r="AV19" s="521"/>
      <c r="AW19" s="196"/>
    </row>
    <row r="20" spans="1:49" ht="18" customHeight="1" x14ac:dyDescent="0.2">
      <c r="A20" s="50"/>
      <c r="B20" s="171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D20" s="49"/>
      <c r="AE20" s="49"/>
      <c r="AF20" s="431"/>
      <c r="AG20" s="432"/>
      <c r="AH20" s="434"/>
      <c r="AI20" s="434"/>
      <c r="AJ20" s="434"/>
      <c r="AK20" s="434"/>
      <c r="AL20" s="211"/>
      <c r="AM20" s="522"/>
      <c r="AN20" s="523"/>
      <c r="AO20" s="523"/>
      <c r="AP20" s="523"/>
      <c r="AQ20" s="523"/>
      <c r="AR20" s="523"/>
      <c r="AS20" s="523"/>
      <c r="AT20" s="523"/>
      <c r="AU20" s="523"/>
      <c r="AV20" s="524"/>
      <c r="AW20" s="196"/>
    </row>
    <row r="21" spans="1:49" ht="18" customHeight="1" x14ac:dyDescent="0.2">
      <c r="A21" s="50"/>
      <c r="B21" s="171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196"/>
    </row>
    <row r="22" spans="1:49" ht="30" customHeight="1" x14ac:dyDescent="0.2">
      <c r="A22" s="50"/>
      <c r="B22" s="567"/>
      <c r="C22" s="568"/>
      <c r="D22" s="568"/>
      <c r="E22" s="568"/>
      <c r="F22" s="568"/>
      <c r="G22" s="568"/>
      <c r="H22" s="568"/>
      <c r="I22" s="568"/>
      <c r="J22" s="568"/>
      <c r="K22" s="568"/>
      <c r="L22" s="568"/>
      <c r="M22" s="568"/>
      <c r="N22" s="568"/>
      <c r="O22" s="568"/>
      <c r="P22" s="568"/>
      <c r="Q22" s="568"/>
      <c r="R22" s="568"/>
      <c r="S22" s="568"/>
      <c r="T22" s="568"/>
      <c r="U22" s="568"/>
      <c r="V22" s="568"/>
      <c r="W22" s="568"/>
      <c r="X22" s="568"/>
      <c r="Y22" s="569"/>
      <c r="Z22" s="503" t="s">
        <v>153</v>
      </c>
      <c r="AA22" s="504"/>
      <c r="AB22" s="504"/>
      <c r="AC22" s="528"/>
      <c r="AD22" s="503" t="s">
        <v>260</v>
      </c>
      <c r="AE22" s="504"/>
      <c r="AF22" s="504"/>
      <c r="AG22" s="528"/>
      <c r="AH22" s="545" t="s">
        <v>259</v>
      </c>
      <c r="AI22" s="530" t="s">
        <v>258</v>
      </c>
      <c r="AJ22" s="531"/>
      <c r="AK22" s="536" t="s">
        <v>257</v>
      </c>
      <c r="AL22" s="537"/>
      <c r="AM22" s="536" t="s">
        <v>256</v>
      </c>
      <c r="AN22" s="542"/>
      <c r="AO22" s="537"/>
      <c r="AP22" s="536" t="s">
        <v>178</v>
      </c>
      <c r="AQ22" s="542"/>
      <c r="AR22" s="542"/>
      <c r="AS22" s="537"/>
      <c r="AT22" s="503" t="s">
        <v>255</v>
      </c>
      <c r="AU22" s="504"/>
      <c r="AV22" s="504"/>
      <c r="AW22" s="505"/>
    </row>
    <row r="23" spans="1:49" ht="20.25" customHeight="1" x14ac:dyDescent="0.2">
      <c r="A23" s="50"/>
      <c r="B23" s="552"/>
      <c r="C23" s="553"/>
      <c r="D23" s="553"/>
      <c r="E23" s="553"/>
      <c r="F23" s="553"/>
      <c r="G23" s="553"/>
      <c r="H23" s="553"/>
      <c r="I23" s="553"/>
      <c r="J23" s="553"/>
      <c r="K23" s="553"/>
      <c r="L23" s="553"/>
      <c r="M23" s="553"/>
      <c r="N23" s="553"/>
      <c r="O23" s="553"/>
      <c r="P23" s="553"/>
      <c r="Q23" s="553"/>
      <c r="R23" s="553"/>
      <c r="S23" s="553"/>
      <c r="T23" s="553"/>
      <c r="U23" s="553"/>
      <c r="V23" s="553"/>
      <c r="W23" s="553"/>
      <c r="X23" s="553"/>
      <c r="Y23" s="554"/>
      <c r="Z23" s="509"/>
      <c r="AA23" s="510"/>
      <c r="AB23" s="510"/>
      <c r="AC23" s="529"/>
      <c r="AD23" s="509"/>
      <c r="AE23" s="510"/>
      <c r="AF23" s="510"/>
      <c r="AG23" s="529"/>
      <c r="AH23" s="546"/>
      <c r="AI23" s="532"/>
      <c r="AJ23" s="533"/>
      <c r="AK23" s="538"/>
      <c r="AL23" s="539"/>
      <c r="AM23" s="538"/>
      <c r="AN23" s="543"/>
      <c r="AO23" s="539"/>
      <c r="AP23" s="538"/>
      <c r="AQ23" s="543"/>
      <c r="AR23" s="543"/>
      <c r="AS23" s="539"/>
      <c r="AT23" s="506"/>
      <c r="AU23" s="507"/>
      <c r="AV23" s="507"/>
      <c r="AW23" s="508"/>
    </row>
    <row r="24" spans="1:49" ht="20.25" customHeight="1" x14ac:dyDescent="0.2">
      <c r="A24" s="50"/>
      <c r="B24" s="552"/>
      <c r="C24" s="553"/>
      <c r="D24" s="553"/>
      <c r="E24" s="553"/>
      <c r="F24" s="553"/>
      <c r="G24" s="553"/>
      <c r="H24" s="553"/>
      <c r="I24" s="553"/>
      <c r="J24" s="553"/>
      <c r="K24" s="553"/>
      <c r="L24" s="553"/>
      <c r="M24" s="553"/>
      <c r="N24" s="553"/>
      <c r="O24" s="553"/>
      <c r="P24" s="553"/>
      <c r="Q24" s="553"/>
      <c r="R24" s="553"/>
      <c r="S24" s="553"/>
      <c r="T24" s="553"/>
      <c r="U24" s="553"/>
      <c r="V24" s="553"/>
      <c r="W24" s="553"/>
      <c r="X24" s="553"/>
      <c r="Y24" s="554"/>
      <c r="Z24" s="572" t="s">
        <v>177</v>
      </c>
      <c r="AA24" s="573"/>
      <c r="AB24" s="572" t="s">
        <v>280</v>
      </c>
      <c r="AC24" s="573"/>
      <c r="AD24" s="503" t="s">
        <v>254</v>
      </c>
      <c r="AE24" s="528"/>
      <c r="AF24" s="503" t="s">
        <v>287</v>
      </c>
      <c r="AG24" s="528"/>
      <c r="AH24" s="546"/>
      <c r="AI24" s="532"/>
      <c r="AJ24" s="533"/>
      <c r="AK24" s="538"/>
      <c r="AL24" s="539"/>
      <c r="AM24" s="538"/>
      <c r="AN24" s="543"/>
      <c r="AO24" s="539"/>
      <c r="AP24" s="538"/>
      <c r="AQ24" s="543"/>
      <c r="AR24" s="543"/>
      <c r="AS24" s="539"/>
      <c r="AT24" s="506"/>
      <c r="AU24" s="507"/>
      <c r="AV24" s="507"/>
      <c r="AW24" s="508"/>
    </row>
    <row r="25" spans="1:49" ht="20.25" customHeight="1" x14ac:dyDescent="0.2">
      <c r="A25" s="50"/>
      <c r="B25" s="552"/>
      <c r="C25" s="553"/>
      <c r="D25" s="553"/>
      <c r="E25" s="553"/>
      <c r="F25" s="553"/>
      <c r="G25" s="553"/>
      <c r="H25" s="553"/>
      <c r="I25" s="553"/>
      <c r="J25" s="553"/>
      <c r="K25" s="553"/>
      <c r="L25" s="553"/>
      <c r="M25" s="553"/>
      <c r="N25" s="553"/>
      <c r="O25" s="553"/>
      <c r="P25" s="553"/>
      <c r="Q25" s="553"/>
      <c r="R25" s="553"/>
      <c r="S25" s="553"/>
      <c r="T25" s="553"/>
      <c r="U25" s="553"/>
      <c r="V25" s="553"/>
      <c r="W25" s="553"/>
      <c r="X25" s="553"/>
      <c r="Y25" s="554"/>
      <c r="Z25" s="574"/>
      <c r="AA25" s="575"/>
      <c r="AB25" s="574"/>
      <c r="AC25" s="575"/>
      <c r="AD25" s="509"/>
      <c r="AE25" s="529"/>
      <c r="AF25" s="509"/>
      <c r="AG25" s="529"/>
      <c r="AH25" s="547"/>
      <c r="AI25" s="534"/>
      <c r="AJ25" s="535"/>
      <c r="AK25" s="540"/>
      <c r="AL25" s="541"/>
      <c r="AM25" s="540"/>
      <c r="AN25" s="544"/>
      <c r="AO25" s="541"/>
      <c r="AP25" s="540"/>
      <c r="AQ25" s="544"/>
      <c r="AR25" s="544"/>
      <c r="AS25" s="541"/>
      <c r="AT25" s="509"/>
      <c r="AU25" s="510"/>
      <c r="AV25" s="510"/>
      <c r="AW25" s="511"/>
    </row>
    <row r="26" spans="1:49" ht="20.25" customHeight="1" x14ac:dyDescent="0.2">
      <c r="A26" s="50"/>
      <c r="B26" s="552"/>
      <c r="C26" s="553"/>
      <c r="D26" s="553"/>
      <c r="E26" s="553"/>
      <c r="F26" s="553"/>
      <c r="G26" s="553"/>
      <c r="H26" s="553"/>
      <c r="I26" s="553"/>
      <c r="J26" s="553"/>
      <c r="K26" s="553"/>
      <c r="L26" s="553"/>
      <c r="M26" s="553"/>
      <c r="N26" s="553"/>
      <c r="O26" s="553"/>
      <c r="P26" s="553"/>
      <c r="Q26" s="553"/>
      <c r="R26" s="553"/>
      <c r="S26" s="553"/>
      <c r="T26" s="553"/>
      <c r="U26" s="553"/>
      <c r="V26" s="553"/>
      <c r="W26" s="553"/>
      <c r="X26" s="553"/>
      <c r="Y26" s="554"/>
      <c r="Z26" s="431"/>
      <c r="AA26" s="433"/>
      <c r="AB26" s="431"/>
      <c r="AC26" s="433"/>
      <c r="AD26" s="431"/>
      <c r="AE26" s="433"/>
      <c r="AF26" s="431"/>
      <c r="AG26" s="433"/>
      <c r="AH26" s="211"/>
      <c r="AI26" s="211" t="s">
        <v>368</v>
      </c>
      <c r="AJ26" s="211" t="s">
        <v>369</v>
      </c>
      <c r="AK26" s="549">
        <v>0.16666666666666666</v>
      </c>
      <c r="AL26" s="433"/>
      <c r="AM26" s="549">
        <v>0.17708333333333334</v>
      </c>
      <c r="AN26" s="432"/>
      <c r="AO26" s="433"/>
      <c r="AP26" s="431" t="s">
        <v>370</v>
      </c>
      <c r="AQ26" s="432"/>
      <c r="AR26" s="432"/>
      <c r="AS26" s="433"/>
      <c r="AT26" s="431" t="s">
        <v>348</v>
      </c>
      <c r="AU26" s="432"/>
      <c r="AV26" s="432"/>
      <c r="AW26" s="548"/>
    </row>
    <row r="27" spans="1:49" ht="20.25" customHeight="1" x14ac:dyDescent="0.2">
      <c r="A27" s="50"/>
      <c r="B27" s="552"/>
      <c r="C27" s="553"/>
      <c r="D27" s="553"/>
      <c r="E27" s="553"/>
      <c r="F27" s="553"/>
      <c r="G27" s="553"/>
      <c r="H27" s="553"/>
      <c r="I27" s="553"/>
      <c r="J27" s="553"/>
      <c r="K27" s="553"/>
      <c r="L27" s="553"/>
      <c r="M27" s="553"/>
      <c r="N27" s="553"/>
      <c r="O27" s="553"/>
      <c r="P27" s="553"/>
      <c r="Q27" s="553"/>
      <c r="R27" s="553"/>
      <c r="S27" s="553"/>
      <c r="T27" s="553"/>
      <c r="U27" s="553"/>
      <c r="V27" s="553"/>
      <c r="W27" s="553"/>
      <c r="X27" s="553"/>
      <c r="Y27" s="554"/>
      <c r="Z27" s="431"/>
      <c r="AA27" s="433"/>
      <c r="AB27" s="431"/>
      <c r="AC27" s="433"/>
      <c r="AD27" s="431"/>
      <c r="AE27" s="433"/>
      <c r="AF27" s="431"/>
      <c r="AG27" s="433"/>
      <c r="AH27" s="278"/>
      <c r="AI27" s="211"/>
      <c r="AJ27" s="211"/>
      <c r="AK27" s="431"/>
      <c r="AL27" s="433"/>
      <c r="AM27" s="431"/>
      <c r="AN27" s="432"/>
      <c r="AO27" s="433"/>
      <c r="AP27" s="431"/>
      <c r="AQ27" s="432"/>
      <c r="AR27" s="432"/>
      <c r="AS27" s="433"/>
      <c r="AT27" s="431"/>
      <c r="AU27" s="432"/>
      <c r="AV27" s="432"/>
      <c r="AW27" s="548"/>
    </row>
    <row r="28" spans="1:49" ht="20.25" customHeight="1" x14ac:dyDescent="0.2">
      <c r="A28" s="50"/>
      <c r="B28" s="552"/>
      <c r="C28" s="553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553"/>
      <c r="Y28" s="554"/>
      <c r="Z28" s="431"/>
      <c r="AA28" s="433"/>
      <c r="AB28" s="431"/>
      <c r="AC28" s="433"/>
      <c r="AD28" s="431"/>
      <c r="AE28" s="433"/>
      <c r="AF28" s="431"/>
      <c r="AG28" s="433"/>
      <c r="AH28" s="211"/>
      <c r="AI28" s="211"/>
      <c r="AJ28" s="211"/>
      <c r="AK28" s="431"/>
      <c r="AL28" s="433"/>
      <c r="AM28" s="431"/>
      <c r="AN28" s="432"/>
      <c r="AO28" s="433"/>
      <c r="AP28" s="431"/>
      <c r="AQ28" s="432"/>
      <c r="AR28" s="432"/>
      <c r="AS28" s="433"/>
      <c r="AT28" s="431"/>
      <c r="AU28" s="432"/>
      <c r="AV28" s="432"/>
      <c r="AW28" s="548"/>
    </row>
    <row r="29" spans="1:49" ht="20.25" customHeight="1" x14ac:dyDescent="0.2">
      <c r="A29" s="50"/>
      <c r="B29" s="552"/>
      <c r="C29" s="553"/>
      <c r="D29" s="553"/>
      <c r="E29" s="553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3"/>
      <c r="R29" s="553"/>
      <c r="S29" s="553"/>
      <c r="T29" s="553"/>
      <c r="U29" s="553"/>
      <c r="V29" s="553"/>
      <c r="W29" s="553"/>
      <c r="X29" s="553"/>
      <c r="Y29" s="554"/>
      <c r="Z29" s="431"/>
      <c r="AA29" s="433"/>
      <c r="AB29" s="431"/>
      <c r="AC29" s="433"/>
      <c r="AD29" s="431"/>
      <c r="AE29" s="433"/>
      <c r="AF29" s="431"/>
      <c r="AG29" s="433"/>
      <c r="AH29" s="211"/>
      <c r="AI29" s="211"/>
      <c r="AJ29" s="211"/>
      <c r="AK29" s="431"/>
      <c r="AL29" s="433"/>
      <c r="AM29" s="431"/>
      <c r="AN29" s="432"/>
      <c r="AO29" s="433"/>
      <c r="AP29" s="431"/>
      <c r="AQ29" s="432"/>
      <c r="AR29" s="432"/>
      <c r="AS29" s="433"/>
      <c r="AT29" s="431"/>
      <c r="AU29" s="432"/>
      <c r="AV29" s="432"/>
      <c r="AW29" s="548"/>
    </row>
    <row r="30" spans="1:49" ht="20.25" customHeight="1" x14ac:dyDescent="0.2">
      <c r="A30" s="50"/>
      <c r="B30" s="552"/>
      <c r="C30" s="553"/>
      <c r="D30" s="553"/>
      <c r="E30" s="553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  <c r="S30" s="553"/>
      <c r="T30" s="553"/>
      <c r="U30" s="553"/>
      <c r="V30" s="553"/>
      <c r="W30" s="553"/>
      <c r="X30" s="553"/>
      <c r="Y30" s="554"/>
      <c r="Z30" s="431"/>
      <c r="AA30" s="433"/>
      <c r="AB30" s="431"/>
      <c r="AC30" s="433"/>
      <c r="AD30" s="431"/>
      <c r="AE30" s="433"/>
      <c r="AF30" s="431"/>
      <c r="AG30" s="433"/>
      <c r="AH30" s="211"/>
      <c r="AI30" s="211"/>
      <c r="AJ30" s="211"/>
      <c r="AK30" s="431"/>
      <c r="AL30" s="433"/>
      <c r="AM30" s="431"/>
      <c r="AN30" s="432"/>
      <c r="AO30" s="433"/>
      <c r="AP30" s="431"/>
      <c r="AQ30" s="432"/>
      <c r="AR30" s="432"/>
      <c r="AS30" s="433"/>
      <c r="AT30" s="431"/>
      <c r="AU30" s="432"/>
      <c r="AV30" s="432"/>
      <c r="AW30" s="548"/>
    </row>
    <row r="31" spans="1:49" ht="20.25" customHeight="1" x14ac:dyDescent="0.2">
      <c r="A31" s="50"/>
      <c r="B31" s="552"/>
      <c r="C31" s="553"/>
      <c r="D31" s="553"/>
      <c r="E31" s="553"/>
      <c r="F31" s="553"/>
      <c r="G31" s="553"/>
      <c r="H31" s="553"/>
      <c r="I31" s="553"/>
      <c r="J31" s="553"/>
      <c r="K31" s="553"/>
      <c r="L31" s="553"/>
      <c r="M31" s="553"/>
      <c r="N31" s="553"/>
      <c r="O31" s="553"/>
      <c r="P31" s="553"/>
      <c r="Q31" s="553"/>
      <c r="R31" s="553"/>
      <c r="S31" s="553"/>
      <c r="T31" s="553"/>
      <c r="U31" s="553"/>
      <c r="V31" s="553"/>
      <c r="W31" s="553"/>
      <c r="X31" s="553"/>
      <c r="Y31" s="554"/>
      <c r="Z31" s="431"/>
      <c r="AA31" s="433"/>
      <c r="AB31" s="431"/>
      <c r="AC31" s="433"/>
      <c r="AD31" s="431"/>
      <c r="AE31" s="433"/>
      <c r="AF31" s="431"/>
      <c r="AG31" s="433"/>
      <c r="AH31" s="211"/>
      <c r="AI31" s="211"/>
      <c r="AJ31" s="211"/>
      <c r="AK31" s="431"/>
      <c r="AL31" s="433"/>
      <c r="AM31" s="431"/>
      <c r="AN31" s="432"/>
      <c r="AO31" s="433"/>
      <c r="AP31" s="431"/>
      <c r="AQ31" s="432"/>
      <c r="AR31" s="432"/>
      <c r="AS31" s="433"/>
      <c r="AT31" s="431"/>
      <c r="AU31" s="432"/>
      <c r="AV31" s="432"/>
      <c r="AW31" s="548"/>
    </row>
    <row r="32" spans="1:49" ht="20.25" customHeight="1" x14ac:dyDescent="0.2">
      <c r="A32" s="173"/>
      <c r="B32" s="552"/>
      <c r="C32" s="553"/>
      <c r="D32" s="553"/>
      <c r="E32" s="553"/>
      <c r="F32" s="553"/>
      <c r="G32" s="553"/>
      <c r="H32" s="553"/>
      <c r="I32" s="553"/>
      <c r="J32" s="553"/>
      <c r="K32" s="553"/>
      <c r="L32" s="553"/>
      <c r="M32" s="553"/>
      <c r="N32" s="553"/>
      <c r="O32" s="553"/>
      <c r="P32" s="553"/>
      <c r="Q32" s="553"/>
      <c r="R32" s="553"/>
      <c r="S32" s="553"/>
      <c r="T32" s="553"/>
      <c r="U32" s="553"/>
      <c r="V32" s="553"/>
      <c r="W32" s="553"/>
      <c r="X32" s="553"/>
      <c r="Y32" s="554"/>
      <c r="Z32" s="431"/>
      <c r="AA32" s="433"/>
      <c r="AB32" s="431"/>
      <c r="AC32" s="433"/>
      <c r="AD32" s="431"/>
      <c r="AE32" s="433"/>
      <c r="AF32" s="431"/>
      <c r="AG32" s="433"/>
      <c r="AH32" s="211"/>
      <c r="AI32" s="211"/>
      <c r="AJ32" s="211"/>
      <c r="AK32" s="431"/>
      <c r="AL32" s="433"/>
      <c r="AM32" s="431"/>
      <c r="AN32" s="432"/>
      <c r="AO32" s="433"/>
      <c r="AP32" s="431"/>
      <c r="AQ32" s="432"/>
      <c r="AR32" s="432"/>
      <c r="AS32" s="433"/>
      <c r="AT32" s="431"/>
      <c r="AU32" s="432"/>
      <c r="AV32" s="432"/>
      <c r="AW32" s="548"/>
    </row>
    <row r="33" spans="2:49" ht="20.25" customHeight="1" x14ac:dyDescent="0.2">
      <c r="B33" s="552"/>
      <c r="C33" s="553"/>
      <c r="D33" s="553"/>
      <c r="E33" s="553"/>
      <c r="F33" s="553"/>
      <c r="G33" s="553"/>
      <c r="H33" s="553"/>
      <c r="I33" s="553"/>
      <c r="J33" s="553"/>
      <c r="K33" s="553"/>
      <c r="L33" s="553"/>
      <c r="M33" s="553"/>
      <c r="N33" s="553"/>
      <c r="O33" s="553"/>
      <c r="P33" s="553"/>
      <c r="Q33" s="553"/>
      <c r="R33" s="553"/>
      <c r="S33" s="553"/>
      <c r="T33" s="553"/>
      <c r="U33" s="553"/>
      <c r="V33" s="553"/>
      <c r="W33" s="553"/>
      <c r="X33" s="553"/>
      <c r="Y33" s="554"/>
      <c r="Z33" s="431"/>
      <c r="AA33" s="433"/>
      <c r="AB33" s="431"/>
      <c r="AC33" s="433"/>
      <c r="AD33" s="431"/>
      <c r="AE33" s="433"/>
      <c r="AF33" s="431"/>
      <c r="AG33" s="433"/>
      <c r="AH33" s="211"/>
      <c r="AI33" s="211"/>
      <c r="AJ33" s="211"/>
      <c r="AK33" s="431"/>
      <c r="AL33" s="433"/>
      <c r="AM33" s="431"/>
      <c r="AN33" s="432"/>
      <c r="AO33" s="433"/>
      <c r="AP33" s="431"/>
      <c r="AQ33" s="432"/>
      <c r="AR33" s="432"/>
      <c r="AS33" s="433"/>
      <c r="AT33" s="431"/>
      <c r="AU33" s="432"/>
      <c r="AV33" s="432"/>
      <c r="AW33" s="548"/>
    </row>
    <row r="34" spans="2:49" ht="20.25" customHeight="1" x14ac:dyDescent="0.2">
      <c r="B34" s="552"/>
      <c r="C34" s="553"/>
      <c r="D34" s="553"/>
      <c r="E34" s="553"/>
      <c r="F34" s="553"/>
      <c r="G34" s="553"/>
      <c r="H34" s="553"/>
      <c r="I34" s="553"/>
      <c r="J34" s="553"/>
      <c r="K34" s="553"/>
      <c r="L34" s="553"/>
      <c r="M34" s="553"/>
      <c r="N34" s="553"/>
      <c r="O34" s="553"/>
      <c r="P34" s="553"/>
      <c r="Q34" s="553"/>
      <c r="R34" s="553"/>
      <c r="S34" s="553"/>
      <c r="T34" s="553"/>
      <c r="U34" s="553"/>
      <c r="V34" s="553"/>
      <c r="W34" s="553"/>
      <c r="X34" s="553"/>
      <c r="Y34" s="554"/>
      <c r="Z34" s="431"/>
      <c r="AA34" s="433"/>
      <c r="AB34" s="431"/>
      <c r="AC34" s="433"/>
      <c r="AD34" s="431"/>
      <c r="AE34" s="433"/>
      <c r="AF34" s="431"/>
      <c r="AG34" s="433"/>
      <c r="AH34" s="211"/>
      <c r="AI34" s="211"/>
      <c r="AJ34" s="211"/>
      <c r="AK34" s="431"/>
      <c r="AL34" s="433"/>
      <c r="AM34" s="431"/>
      <c r="AN34" s="432"/>
      <c r="AO34" s="433"/>
      <c r="AP34" s="431"/>
      <c r="AQ34" s="432"/>
      <c r="AR34" s="432"/>
      <c r="AS34" s="433"/>
      <c r="AT34" s="431"/>
      <c r="AU34" s="432"/>
      <c r="AV34" s="432"/>
      <c r="AW34" s="548"/>
    </row>
    <row r="35" spans="2:49" ht="20.25" customHeight="1" thickBot="1" x14ac:dyDescent="0.25">
      <c r="B35" s="555"/>
      <c r="C35" s="556"/>
      <c r="D35" s="556"/>
      <c r="E35" s="556"/>
      <c r="F35" s="556"/>
      <c r="G35" s="556"/>
      <c r="H35" s="556"/>
      <c r="I35" s="556"/>
      <c r="J35" s="556"/>
      <c r="K35" s="556"/>
      <c r="L35" s="556"/>
      <c r="M35" s="556"/>
      <c r="N35" s="556"/>
      <c r="O35" s="556"/>
      <c r="P35" s="556"/>
      <c r="Q35" s="556"/>
      <c r="R35" s="556"/>
      <c r="S35" s="556"/>
      <c r="T35" s="556"/>
      <c r="U35" s="556"/>
      <c r="V35" s="556"/>
      <c r="W35" s="556"/>
      <c r="X35" s="556"/>
      <c r="Y35" s="557"/>
      <c r="Z35" s="442"/>
      <c r="AA35" s="443"/>
      <c r="AB35" s="442"/>
      <c r="AC35" s="443"/>
      <c r="AD35" s="442"/>
      <c r="AE35" s="443"/>
      <c r="AF35" s="442"/>
      <c r="AG35" s="443"/>
      <c r="AH35" s="279"/>
      <c r="AI35" s="279"/>
      <c r="AJ35" s="279"/>
      <c r="AK35" s="442"/>
      <c r="AL35" s="443"/>
      <c r="AM35" s="442"/>
      <c r="AN35" s="550"/>
      <c r="AO35" s="443"/>
      <c r="AP35" s="442"/>
      <c r="AQ35" s="550"/>
      <c r="AR35" s="550"/>
      <c r="AS35" s="443"/>
      <c r="AT35" s="442"/>
      <c r="AU35" s="550"/>
      <c r="AV35" s="550"/>
      <c r="AW35" s="551"/>
    </row>
    <row r="36" spans="2:49" ht="8.25" hidden="1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</row>
    <row r="37" spans="2:49" hidden="1" x14ac:dyDescent="0.2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</row>
    <row r="41" spans="2:49" hidden="1" x14ac:dyDescent="0.2">
      <c r="B41" s="239"/>
      <c r="C41" s="239"/>
    </row>
    <row r="42" spans="2:49" ht="12.75" hidden="1" customHeight="1" x14ac:dyDescent="0.2">
      <c r="B42" s="441"/>
      <c r="C42" s="441"/>
      <c r="Y42" s="240"/>
      <c r="AC42" s="240"/>
      <c r="AG42" s="241"/>
      <c r="AH42" s="242"/>
      <c r="AJ42" s="243"/>
      <c r="AL42" s="243"/>
    </row>
    <row r="43" spans="2:49" hidden="1" x14ac:dyDescent="0.2">
      <c r="B43" s="441"/>
      <c r="C43" s="441"/>
    </row>
    <row r="44" spans="2:49" ht="12.75" hidden="1" customHeight="1" x14ac:dyDescent="0.2">
      <c r="B44" s="441"/>
      <c r="C44" s="441"/>
      <c r="Y44" s="229"/>
      <c r="AA44" s="229"/>
      <c r="AC44" s="240"/>
      <c r="AE44" s="240"/>
    </row>
    <row r="45" spans="2:49" hidden="1" x14ac:dyDescent="0.2">
      <c r="B45" s="441"/>
      <c r="C45" s="441"/>
    </row>
    <row r="46" spans="2:49" hidden="1" x14ac:dyDescent="0.2">
      <c r="B46" s="441"/>
      <c r="C46" s="441"/>
    </row>
    <row r="49" spans="2:7" hidden="1" x14ac:dyDescent="0.2">
      <c r="B49" s="239"/>
      <c r="C49" s="239"/>
      <c r="D49" s="239"/>
      <c r="E49" s="239"/>
      <c r="F49" s="239"/>
      <c r="G49" s="239"/>
    </row>
    <row r="50" spans="2:7" hidden="1" x14ac:dyDescent="0.2">
      <c r="B50" s="239"/>
      <c r="C50" s="239"/>
      <c r="D50" s="239"/>
      <c r="E50" s="239"/>
      <c r="F50" s="239"/>
      <c r="G50" s="239"/>
    </row>
    <row r="51" spans="2:7" hidden="1" x14ac:dyDescent="0.2">
      <c r="B51" s="239"/>
      <c r="C51" s="239"/>
      <c r="D51" s="239"/>
      <c r="E51" s="239"/>
      <c r="F51" s="239"/>
      <c r="G51" s="239"/>
    </row>
    <row r="52" spans="2:7" hidden="1" x14ac:dyDescent="0.2">
      <c r="B52" s="239"/>
      <c r="C52" s="239"/>
      <c r="D52" s="239"/>
      <c r="E52" s="239"/>
      <c r="F52" s="239"/>
      <c r="G52" s="239"/>
    </row>
    <row r="53" spans="2:7" hidden="1" x14ac:dyDescent="0.2">
      <c r="B53" s="441"/>
      <c r="C53" s="441"/>
      <c r="D53" s="239"/>
      <c r="E53" s="239"/>
      <c r="F53" s="239"/>
      <c r="G53" s="239"/>
    </row>
    <row r="54" spans="2:7" hidden="1" x14ac:dyDescent="0.2">
      <c r="B54" s="239"/>
      <c r="C54" s="239"/>
      <c r="D54" s="239"/>
      <c r="E54" s="239"/>
      <c r="F54" s="239"/>
      <c r="G54" s="239"/>
    </row>
    <row r="55" spans="2:7" hidden="1" x14ac:dyDescent="0.2">
      <c r="B55" s="441"/>
      <c r="C55" s="441"/>
      <c r="D55" s="441"/>
      <c r="E55" s="441"/>
      <c r="F55" s="441"/>
      <c r="G55" s="441"/>
    </row>
    <row r="62" spans="2:7" ht="16.5" hidden="1" customHeight="1" x14ac:dyDescent="0.2"/>
  </sheetData>
  <sheetProtection algorithmName="SHA-512" hashValue="S4Fi4egDvsPBDFcCFvXyHve3vD16sSkekTL1upnJVl5A+bCLAYHhP7ARCZDhoDI2w2RRZ5QZrYlQ/QO+7+Wfcw==" saltValue="cDFZ1SlOMk1Hyr70qcwcXA==" spinCount="100000" sheet="1" objects="1" scenarios="1" formatCells="0" selectLockedCells="1"/>
  <mergeCells count="241">
    <mergeCell ref="AD12:AE12"/>
    <mergeCell ref="AD13:AE13"/>
    <mergeCell ref="Z24:AA25"/>
    <mergeCell ref="AB24:AC25"/>
    <mergeCell ref="AD24:AE25"/>
    <mergeCell ref="K9:M9"/>
    <mergeCell ref="B32:Y32"/>
    <mergeCell ref="B33:Y33"/>
    <mergeCell ref="Z26:AA26"/>
    <mergeCell ref="Z27:AA27"/>
    <mergeCell ref="Z29:AA29"/>
    <mergeCell ref="Z30:AA30"/>
    <mergeCell ref="Z31:AA31"/>
    <mergeCell ref="Z22:AC23"/>
    <mergeCell ref="AB32:AC32"/>
    <mergeCell ref="AB33:AC33"/>
    <mergeCell ref="P9:Q9"/>
    <mergeCell ref="B19:G19"/>
    <mergeCell ref="N19:Q19"/>
    <mergeCell ref="S19:V19"/>
    <mergeCell ref="X19:AA19"/>
    <mergeCell ref="T9:U9"/>
    <mergeCell ref="B34:Y34"/>
    <mergeCell ref="B35:Y35"/>
    <mergeCell ref="I14:L14"/>
    <mergeCell ref="J15:L15"/>
    <mergeCell ref="J16:L16"/>
    <mergeCell ref="I17:L17"/>
    <mergeCell ref="I18:L18"/>
    <mergeCell ref="I19:L19"/>
    <mergeCell ref="N17:Q17"/>
    <mergeCell ref="S17:V17"/>
    <mergeCell ref="X17:AA17"/>
    <mergeCell ref="N18:Q18"/>
    <mergeCell ref="S18:V18"/>
    <mergeCell ref="X18:AA18"/>
    <mergeCell ref="B27:Y27"/>
    <mergeCell ref="B28:Y28"/>
    <mergeCell ref="B29:Y29"/>
    <mergeCell ref="B30:Y30"/>
    <mergeCell ref="B31:Y31"/>
    <mergeCell ref="B22:Y22"/>
    <mergeCell ref="B23:Y23"/>
    <mergeCell ref="B24:Y24"/>
    <mergeCell ref="B25:Y25"/>
    <mergeCell ref="B26:Y26"/>
    <mergeCell ref="AM35:AO35"/>
    <mergeCell ref="AK31:AL31"/>
    <mergeCell ref="AK32:AL32"/>
    <mergeCell ref="AK33:AL33"/>
    <mergeCell ref="AK34:AL34"/>
    <mergeCell ref="AK35:AL35"/>
    <mergeCell ref="AP34:AS34"/>
    <mergeCell ref="AP35:AS35"/>
    <mergeCell ref="AT27:AW27"/>
    <mergeCell ref="AT29:AW29"/>
    <mergeCell ref="AT30:AW30"/>
    <mergeCell ref="AT31:AW31"/>
    <mergeCell ref="AT32:AW32"/>
    <mergeCell ref="AT33:AW33"/>
    <mergeCell ref="AT34:AW34"/>
    <mergeCell ref="AT35:AW35"/>
    <mergeCell ref="AP29:AS29"/>
    <mergeCell ref="AP30:AS30"/>
    <mergeCell ref="AP31:AS31"/>
    <mergeCell ref="AP32:AS32"/>
    <mergeCell ref="AP33:AS33"/>
    <mergeCell ref="AF35:AG35"/>
    <mergeCell ref="AF26:AG26"/>
    <mergeCell ref="AT26:AW26"/>
    <mergeCell ref="AD27:AE27"/>
    <mergeCell ref="AD29:AE29"/>
    <mergeCell ref="AD30:AE30"/>
    <mergeCell ref="AF27:AG27"/>
    <mergeCell ref="AF29:AG29"/>
    <mergeCell ref="AF30:AG30"/>
    <mergeCell ref="AK26:AL26"/>
    <mergeCell ref="AK27:AL27"/>
    <mergeCell ref="AK29:AL29"/>
    <mergeCell ref="AK30:AL30"/>
    <mergeCell ref="AM26:AO26"/>
    <mergeCell ref="AM27:AO27"/>
    <mergeCell ref="AM29:AO29"/>
    <mergeCell ref="AM30:AO30"/>
    <mergeCell ref="AM28:AO28"/>
    <mergeCell ref="AP28:AS28"/>
    <mergeCell ref="AT28:AW28"/>
    <mergeCell ref="AM31:AO31"/>
    <mergeCell ref="AM32:AO32"/>
    <mergeCell ref="AM33:AO33"/>
    <mergeCell ref="AM34:AO34"/>
    <mergeCell ref="AB35:AC35"/>
    <mergeCell ref="AD26:AE26"/>
    <mergeCell ref="AD31:AE31"/>
    <mergeCell ref="AD32:AE32"/>
    <mergeCell ref="AD33:AE33"/>
    <mergeCell ref="AD34:AE34"/>
    <mergeCell ref="AD35:AE35"/>
    <mergeCell ref="AB26:AC26"/>
    <mergeCell ref="AB27:AC27"/>
    <mergeCell ref="AB29:AC29"/>
    <mergeCell ref="AB30:AC30"/>
    <mergeCell ref="AB31:AC31"/>
    <mergeCell ref="AB28:AC28"/>
    <mergeCell ref="AD28:AE28"/>
    <mergeCell ref="AH22:AH25"/>
    <mergeCell ref="AP26:AS26"/>
    <mergeCell ref="AP27:AS27"/>
    <mergeCell ref="AP22:AS25"/>
    <mergeCell ref="AB34:AC34"/>
    <mergeCell ref="AF31:AG31"/>
    <mergeCell ref="AF32:AG32"/>
    <mergeCell ref="AF33:AG33"/>
    <mergeCell ref="AF34:AG34"/>
    <mergeCell ref="AT22:AW25"/>
    <mergeCell ref="AT14:AV14"/>
    <mergeCell ref="AF15:AH15"/>
    <mergeCell ref="AT15:AV15"/>
    <mergeCell ref="AI15:AK15"/>
    <mergeCell ref="AQ15:AS15"/>
    <mergeCell ref="AI14:AK14"/>
    <mergeCell ref="AQ14:AS14"/>
    <mergeCell ref="AO14:AP14"/>
    <mergeCell ref="AO15:AP15"/>
    <mergeCell ref="AF17:AV17"/>
    <mergeCell ref="AF18:AG18"/>
    <mergeCell ref="AH18:AK18"/>
    <mergeCell ref="AM18:AV18"/>
    <mergeCell ref="AM19:AV20"/>
    <mergeCell ref="AF19:AG19"/>
    <mergeCell ref="AH19:AK19"/>
    <mergeCell ref="AF20:AG20"/>
    <mergeCell ref="AH20:AK20"/>
    <mergeCell ref="AD22:AG23"/>
    <mergeCell ref="AI22:AJ25"/>
    <mergeCell ref="AK22:AL25"/>
    <mergeCell ref="AM22:AO25"/>
    <mergeCell ref="AF24:AG25"/>
    <mergeCell ref="AF14:AH14"/>
    <mergeCell ref="B13:G13"/>
    <mergeCell ref="B14:G14"/>
    <mergeCell ref="B15:G15"/>
    <mergeCell ref="B17:G17"/>
    <mergeCell ref="B18:G18"/>
    <mergeCell ref="S13:V13"/>
    <mergeCell ref="X13:AA13"/>
    <mergeCell ref="N13:Q13"/>
    <mergeCell ref="I13:L13"/>
    <mergeCell ref="O15:Q15"/>
    <mergeCell ref="T15:V15"/>
    <mergeCell ref="Y15:AA15"/>
    <mergeCell ref="N14:Q14"/>
    <mergeCell ref="S14:V14"/>
    <mergeCell ref="X14:AA14"/>
    <mergeCell ref="O16:Q16"/>
    <mergeCell ref="T16:V16"/>
    <mergeCell ref="Y16:AA16"/>
    <mergeCell ref="AT7:AW7"/>
    <mergeCell ref="B5:AA6"/>
    <mergeCell ref="R7:U7"/>
    <mergeCell ref="V7:AE7"/>
    <mergeCell ref="AF7:AH7"/>
    <mergeCell ref="AM9:AP9"/>
    <mergeCell ref="AF9:AH9"/>
    <mergeCell ref="AT8:AW8"/>
    <mergeCell ref="AI8:AK8"/>
    <mergeCell ref="AF8:AH8"/>
    <mergeCell ref="B8:D8"/>
    <mergeCell ref="E8:H8"/>
    <mergeCell ref="I8:J8"/>
    <mergeCell ref="K8:M8"/>
    <mergeCell ref="N8:Q8"/>
    <mergeCell ref="AM8:AP8"/>
    <mergeCell ref="R8:S8"/>
    <mergeCell ref="AI7:AK7"/>
    <mergeCell ref="AO5:AQ5"/>
    <mergeCell ref="AS5:AT5"/>
    <mergeCell ref="AU5:AV5"/>
    <mergeCell ref="AM5:AN5"/>
    <mergeCell ref="AE5:AG5"/>
    <mergeCell ref="AB5:AD6"/>
    <mergeCell ref="B2:AA2"/>
    <mergeCell ref="B3:AA4"/>
    <mergeCell ref="T8:U8"/>
    <mergeCell ref="B16:G16"/>
    <mergeCell ref="AM7:AP7"/>
    <mergeCell ref="AQ7:AS7"/>
    <mergeCell ref="AB2:AD2"/>
    <mergeCell ref="AB3:AD4"/>
    <mergeCell ref="AP2:AS2"/>
    <mergeCell ref="AE2:AH2"/>
    <mergeCell ref="AJ2:AO2"/>
    <mergeCell ref="AE3:AF3"/>
    <mergeCell ref="AH3:AI3"/>
    <mergeCell ref="AM3:AN3"/>
    <mergeCell ref="AP3:AQ3"/>
    <mergeCell ref="AL3:AL4"/>
    <mergeCell ref="V8:AA8"/>
    <mergeCell ref="V9:AA9"/>
    <mergeCell ref="AM14:AN14"/>
    <mergeCell ref="AM15:AN15"/>
    <mergeCell ref="AB8:AE8"/>
    <mergeCell ref="AB9:AE9"/>
    <mergeCell ref="N9:O9"/>
    <mergeCell ref="AF11:AV11"/>
    <mergeCell ref="AT9:AW9"/>
    <mergeCell ref="R9:S9"/>
    <mergeCell ref="AJ5:AK5"/>
    <mergeCell ref="B55:G55"/>
    <mergeCell ref="AK28:AL28"/>
    <mergeCell ref="B45:C45"/>
    <mergeCell ref="B46:C46"/>
    <mergeCell ref="B53:C53"/>
    <mergeCell ref="B42:C42"/>
    <mergeCell ref="B43:C43"/>
    <mergeCell ref="B44:C44"/>
    <mergeCell ref="Z28:AA28"/>
    <mergeCell ref="AF28:AG28"/>
    <mergeCell ref="Z32:AA32"/>
    <mergeCell ref="Z33:AA33"/>
    <mergeCell ref="Z34:AA34"/>
    <mergeCell ref="Z35:AA35"/>
    <mergeCell ref="AQ9:AS9"/>
    <mergeCell ref="AI9:AK9"/>
    <mergeCell ref="B7:H7"/>
    <mergeCell ref="I7:Q7"/>
    <mergeCell ref="B9:D9"/>
    <mergeCell ref="E9:H9"/>
    <mergeCell ref="AQ8:AS8"/>
    <mergeCell ref="AF12:AH12"/>
    <mergeCell ref="AI12:AK12"/>
    <mergeCell ref="AM12:AN12"/>
    <mergeCell ref="AO12:AP12"/>
    <mergeCell ref="AQ12:AS12"/>
    <mergeCell ref="AT12:AV12"/>
    <mergeCell ref="AF13:AH13"/>
    <mergeCell ref="AI13:AK13"/>
    <mergeCell ref="AM13:AN13"/>
    <mergeCell ref="AO13:AP13"/>
    <mergeCell ref="AQ13:AS13"/>
    <mergeCell ref="AT13:AV13"/>
  </mergeCells>
  <pageMargins left="0.35" right="0.19685039370078741" top="0.51181102362204722" bottom="0.19685039370078741" header="0.19685039370078741" footer="0.27559055118110237"/>
  <pageSetup scale="89" orientation="landscape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66FF99"/>
  </sheetPr>
  <dimension ref="A1:M131"/>
  <sheetViews>
    <sheetView showGridLines="0" showRowColHeaders="0" zoomScale="85" zoomScaleNormal="85" zoomScaleSheetLayoutView="40" zoomScalePageLayoutView="25" workbookViewId="0">
      <selection sqref="A1:G3"/>
    </sheetView>
  </sheetViews>
  <sheetFormatPr baseColWidth="10" defaultColWidth="0" defaultRowHeight="15" zeroHeight="1" x14ac:dyDescent="0.25"/>
  <cols>
    <col min="1" max="1" width="11.28515625" bestFit="1" customWidth="1"/>
    <col min="2" max="2" width="9.140625" bestFit="1" customWidth="1"/>
    <col min="3" max="3" width="9.85546875" bestFit="1" customWidth="1"/>
    <col min="4" max="4" width="10.85546875" bestFit="1" customWidth="1"/>
    <col min="5" max="5" width="8" bestFit="1" customWidth="1"/>
    <col min="6" max="6" width="9.85546875" bestFit="1" customWidth="1"/>
    <col min="7" max="7" width="10.5703125" bestFit="1" customWidth="1"/>
    <col min="8" max="8" width="11.140625" customWidth="1"/>
    <col min="9" max="9" width="9.140625" bestFit="1" customWidth="1"/>
    <col min="10" max="10" width="9.42578125" customWidth="1"/>
    <col min="11" max="11" width="9.85546875" customWidth="1"/>
    <col min="12" max="12" width="9.7109375" hidden="1" customWidth="1"/>
    <col min="13" max="13" width="9.28515625" hidden="1" customWidth="1"/>
    <col min="14" max="15" width="11.42578125" hidden="1" customWidth="1"/>
    <col min="16" max="16384" width="11.42578125" hidden="1"/>
  </cols>
  <sheetData>
    <row r="1" spans="1:7" ht="15.75" customHeight="1" thickTop="1" x14ac:dyDescent="0.25">
      <c r="A1" s="603" t="s">
        <v>282</v>
      </c>
      <c r="B1" s="604"/>
      <c r="C1" s="604"/>
      <c r="D1" s="604"/>
      <c r="E1" s="604"/>
      <c r="F1" s="604"/>
      <c r="G1" s="605"/>
    </row>
    <row r="2" spans="1:7" ht="15" customHeight="1" x14ac:dyDescent="0.25">
      <c r="A2" s="606"/>
      <c r="B2" s="607"/>
      <c r="C2" s="607"/>
      <c r="D2" s="607"/>
      <c r="E2" s="607"/>
      <c r="F2" s="607"/>
      <c r="G2" s="608"/>
    </row>
    <row r="3" spans="1:7" ht="15.75" customHeight="1" thickBot="1" x14ac:dyDescent="0.3">
      <c r="A3" s="609"/>
      <c r="B3" s="610"/>
      <c r="C3" s="610"/>
      <c r="D3" s="610"/>
      <c r="E3" s="610"/>
      <c r="F3" s="610"/>
      <c r="G3" s="611"/>
    </row>
    <row r="4" spans="1:7" ht="15.75" thickTop="1" x14ac:dyDescent="0.25">
      <c r="A4" s="114" t="str">
        <f>'0006Z'!A8</f>
        <v xml:space="preserve">AA XX  </v>
      </c>
      <c r="B4" s="280" t="str">
        <f>'0006Z'!B8</f>
        <v>01061</v>
      </c>
      <c r="C4" s="115">
        <f>'0006Z'!C8</f>
        <v>78486</v>
      </c>
      <c r="D4" s="116">
        <f>IF('0006Z'!D8="","",'0006Z'!D8)</f>
        <v>46082</v>
      </c>
      <c r="E4" s="115">
        <f>'0006Z'!E8</f>
        <v>0</v>
      </c>
      <c r="F4" s="115">
        <f>'0006Z'!F8</f>
        <v>0</v>
      </c>
      <c r="G4" s="296">
        <f>'0006Z'!G8</f>
        <v>0</v>
      </c>
    </row>
    <row r="5" spans="1:7" x14ac:dyDescent="0.25">
      <c r="A5" s="121" t="str">
        <f>'0006Z'!A10</f>
        <v>32466</v>
      </c>
      <c r="B5" s="122" t="str">
        <f>'0006Z'!B10</f>
        <v>20000</v>
      </c>
      <c r="C5" s="105" t="str">
        <f>'0006Z'!C10</f>
        <v>10244</v>
      </c>
      <c r="D5" s="105" t="str">
        <f>'0006Z'!D10</f>
        <v>20210</v>
      </c>
      <c r="E5" s="105" t="str">
        <f>'0006Z'!E10</f>
        <v>40158</v>
      </c>
      <c r="F5" s="122" t="str">
        <f>'0006Z'!F10</f>
        <v>56008</v>
      </c>
      <c r="G5" s="123">
        <f>'0006Z'!G10</f>
        <v>0</v>
      </c>
    </row>
    <row r="6" spans="1:7" x14ac:dyDescent="0.25">
      <c r="A6" s="281" t="str">
        <f>'0006Z'!A12</f>
        <v>82200</v>
      </c>
      <c r="B6" s="282" t="str">
        <f>'0006Z'!B12</f>
        <v>333</v>
      </c>
      <c r="C6" s="282">
        <f>'0006Z'!C12</f>
        <v>0</v>
      </c>
      <c r="D6" s="282" t="str">
        <f>'0006Z'!D12</f>
        <v>10309</v>
      </c>
      <c r="E6" s="282" t="str">
        <f>'0006Z'!E12</f>
        <v>20225</v>
      </c>
      <c r="F6" s="282" t="str">
        <f>'0006Z'!F12</f>
        <v>30///</v>
      </c>
      <c r="G6" s="283">
        <f>'0006Z'!G12</f>
        <v>0</v>
      </c>
    </row>
    <row r="7" spans="1:7" x14ac:dyDescent="0.25">
      <c r="A7" s="121">
        <f>'0006Z'!A14</f>
        <v>0</v>
      </c>
      <c r="B7" s="122" t="str">
        <f>'0006Z'!B14</f>
        <v>56000</v>
      </c>
      <c r="C7" s="122" t="str">
        <f>'0006Z'!C14</f>
        <v>58006</v>
      </c>
      <c r="D7" s="122">
        <f>'0006Z'!D14</f>
        <v>0</v>
      </c>
      <c r="E7" s="122" t="str">
        <f>'0006Z'!E14</f>
        <v xml:space="preserve">7  </v>
      </c>
      <c r="F7" s="122" t="str">
        <f>'0006Z'!F14</f>
        <v>82816</v>
      </c>
      <c r="G7" s="123" t="str">
        <f>'0006Z'!G14</f>
        <v>8</v>
      </c>
    </row>
    <row r="8" spans="1:7" x14ac:dyDescent="0.25">
      <c r="A8" s="281" t="str">
        <f>'0006Z'!A16</f>
        <v>8</v>
      </c>
      <c r="B8" s="282" t="str">
        <f>'0006Z'!B16</f>
        <v>8</v>
      </c>
      <c r="C8" s="282" t="str">
        <f>'0006Z'!C16</f>
        <v>94086</v>
      </c>
      <c r="D8" s="282" t="str">
        <f>'0006Z'!D16</f>
        <v>94320</v>
      </c>
      <c r="E8" s="282" t="str">
        <f>'0006Z'!E16</f>
        <v>94426</v>
      </c>
      <c r="F8" s="282" t="str">
        <f>'0006Z'!F16</f>
        <v>9</v>
      </c>
      <c r="G8" s="283" t="str">
        <f>'0006Z'!G16</f>
        <v xml:space="preserve">9  </v>
      </c>
    </row>
    <row r="9" spans="1:7" x14ac:dyDescent="0.25">
      <c r="A9" s="121" t="str">
        <f>'0006Z'!A18</f>
        <v xml:space="preserve">9  </v>
      </c>
      <c r="B9" s="122" t="str">
        <f>'0006Z'!B18</f>
        <v xml:space="preserve">9  </v>
      </c>
      <c r="C9" s="122" t="str">
        <f>'0006Z'!C18</f>
        <v xml:space="preserve">9  </v>
      </c>
      <c r="D9" s="122" t="str">
        <f>'0006Z'!D18</f>
        <v>9</v>
      </c>
      <c r="E9" s="122" t="str">
        <f>'0006Z'!E18</f>
        <v xml:space="preserve">9  </v>
      </c>
      <c r="F9" s="122" t="str">
        <f>'0006Z'!F18</f>
        <v xml:space="preserve">9  </v>
      </c>
      <c r="G9" s="123" t="str">
        <f>'0006Z'!G18</f>
        <v xml:space="preserve">9  </v>
      </c>
    </row>
    <row r="10" spans="1:7" x14ac:dyDescent="0.25">
      <c r="A10" s="281" t="str">
        <f>'0006Z'!A20</f>
        <v xml:space="preserve">9  </v>
      </c>
      <c r="B10" s="282" t="str">
        <f>'0006Z'!B20</f>
        <v xml:space="preserve">9  </v>
      </c>
      <c r="C10" s="282" t="str">
        <f>'0006Z'!C20</f>
        <v xml:space="preserve">9  </v>
      </c>
      <c r="D10" s="282" t="str">
        <f>'0006Z'!D20</f>
        <v xml:space="preserve">9  </v>
      </c>
      <c r="E10" s="282" t="str">
        <f>'0006Z'!E20</f>
        <v xml:space="preserve">9  </v>
      </c>
      <c r="F10" s="282" t="str">
        <f>'0006Z'!F20</f>
        <v xml:space="preserve">9  </v>
      </c>
      <c r="G10" s="283" t="str">
        <f>'0006Z'!G20</f>
        <v xml:space="preserve">9  </v>
      </c>
    </row>
    <row r="11" spans="1:7" x14ac:dyDescent="0.25">
      <c r="A11" s="121" t="str">
        <f>'0006Z'!A22</f>
        <v xml:space="preserve">9  </v>
      </c>
      <c r="B11" s="122" t="str">
        <f>'0006Z'!B22</f>
        <v xml:space="preserve">9  </v>
      </c>
      <c r="C11" s="122" t="str">
        <f>'0006Z'!C22</f>
        <v xml:space="preserve">9  </v>
      </c>
      <c r="D11" s="122" t="str">
        <f>'0006Z'!D22</f>
        <v xml:space="preserve">9 </v>
      </c>
      <c r="E11" s="122" t="str">
        <f>'0006Z'!E22</f>
        <v xml:space="preserve">9 </v>
      </c>
      <c r="F11" s="122" t="str">
        <f>'0006Z'!F22</f>
        <v xml:space="preserve">555 </v>
      </c>
      <c r="G11" s="117" t="str">
        <f>'0006Z'!G22</f>
        <v>29081</v>
      </c>
    </row>
    <row r="12" spans="1:7" x14ac:dyDescent="0.25">
      <c r="A12" s="118"/>
      <c r="B12" s="119"/>
      <c r="C12" s="282">
        <f>'0006Z'!C27</f>
        <v>0</v>
      </c>
      <c r="D12" s="119"/>
      <c r="E12" s="119"/>
      <c r="F12" s="119"/>
      <c r="G12" s="120"/>
    </row>
    <row r="13" spans="1:7" x14ac:dyDescent="0.25">
      <c r="A13" s="121" t="str">
        <f>'0006Z'!A29</f>
        <v>24.4</v>
      </c>
      <c r="B13" s="105">
        <f>'0006Z'!B29</f>
        <v>21.009610582951122</v>
      </c>
      <c r="C13" s="122">
        <f>'0006Z'!C29</f>
        <v>0</v>
      </c>
      <c r="D13" s="105">
        <f>'0006Z'!D29</f>
        <v>15</v>
      </c>
      <c r="E13" s="105">
        <f>'0006Z'!E29</f>
        <v>13.6</v>
      </c>
      <c r="F13" s="122" t="str">
        <f>'0006Z'!F29</f>
        <v>27.0</v>
      </c>
      <c r="G13" s="123">
        <f>'0006Z'!G29</f>
        <v>0</v>
      </c>
    </row>
    <row r="14" spans="1:7" ht="15.75" customHeight="1" x14ac:dyDescent="0.25">
      <c r="A14" s="118"/>
      <c r="B14" s="119"/>
      <c r="C14" s="119">
        <f>'0006Z'!C31</f>
        <v>14.2</v>
      </c>
      <c r="D14" s="119"/>
      <c r="E14" s="119"/>
      <c r="F14" s="119"/>
      <c r="G14" s="120"/>
    </row>
    <row r="15" spans="1:7" x14ac:dyDescent="0.25">
      <c r="A15" s="104">
        <f>'0006Z'!A33</f>
        <v>22</v>
      </c>
      <c r="B15" s="105">
        <f>'0006Z'!B33</f>
        <v>24.804209924166098</v>
      </c>
      <c r="C15" s="105">
        <f>'0006Z'!C33</f>
        <v>1.6</v>
      </c>
      <c r="D15" s="105">
        <f>'0006Z'!D33</f>
        <v>14.2</v>
      </c>
      <c r="E15" s="105">
        <f>'0006Z'!E33</f>
        <v>14.2</v>
      </c>
      <c r="F15" s="105">
        <f>'0006Z'!F33</f>
        <v>24.3</v>
      </c>
      <c r="G15" s="117">
        <f>'0006Z'!G33</f>
        <v>0</v>
      </c>
    </row>
    <row r="16" spans="1:7" ht="15.75" thickBot="1" x14ac:dyDescent="0.3">
      <c r="A16" s="135">
        <f>'0006Z'!A37</f>
        <v>2.3999999999999986</v>
      </c>
      <c r="B16" s="284">
        <f>'0006Z'!B37</f>
        <v>81.171794282195094</v>
      </c>
      <c r="C16" s="136">
        <f>'0006Z'!C37</f>
        <v>15.799999999999999</v>
      </c>
      <c r="D16" s="136">
        <f>'0006Z'!D37</f>
        <v>-0.80000000000000071</v>
      </c>
      <c r="E16" s="136">
        <f>'0006Z'!E37</f>
        <v>0.59999999999999964</v>
      </c>
      <c r="F16" s="138" t="str">
        <f>'0006Z'!F37</f>
        <v>0.0</v>
      </c>
      <c r="G16" s="139">
        <f>'0006Z'!G37</f>
        <v>0</v>
      </c>
    </row>
    <row r="17" spans="1:7" ht="36.75" customHeight="1" thickTop="1" x14ac:dyDescent="0.25">
      <c r="A17" s="612" t="s">
        <v>283</v>
      </c>
      <c r="B17" s="613"/>
      <c r="C17" s="613"/>
      <c r="D17" s="613"/>
      <c r="E17" s="613"/>
      <c r="F17" s="613"/>
      <c r="G17" s="614"/>
    </row>
    <row r="18" spans="1:7" ht="15" customHeight="1" x14ac:dyDescent="0.25">
      <c r="A18" s="615"/>
      <c r="B18" s="616"/>
      <c r="C18" s="616"/>
      <c r="D18" s="616"/>
      <c r="E18" s="616"/>
      <c r="F18" s="616"/>
      <c r="G18" s="617"/>
    </row>
    <row r="19" spans="1:7" ht="15.75" customHeight="1" thickBot="1" x14ac:dyDescent="0.3">
      <c r="A19" s="618"/>
      <c r="B19" s="619"/>
      <c r="C19" s="619"/>
      <c r="D19" s="619"/>
      <c r="E19" s="619"/>
      <c r="F19" s="619"/>
      <c r="G19" s="620"/>
    </row>
    <row r="20" spans="1:7" ht="15.75" thickTop="1" x14ac:dyDescent="0.25">
      <c r="A20" s="124" t="str">
        <f>'0009Z'!A8</f>
        <v xml:space="preserve">AA XX  </v>
      </c>
      <c r="B20" s="285" t="str">
        <f>'0009Z'!B8</f>
        <v>01091</v>
      </c>
      <c r="C20" s="125">
        <f>'0009Z'!C8</f>
        <v>78486</v>
      </c>
      <c r="D20" s="126">
        <f>IF('0009Z'!D8="","",'0009Z'!D8)</f>
        <v>46082</v>
      </c>
      <c r="E20" s="298">
        <f>'0009Z'!E8</f>
        <v>0</v>
      </c>
      <c r="F20" s="298">
        <f>'0009Z'!F8</f>
        <v>0</v>
      </c>
      <c r="G20" s="299">
        <f>'0009Z'!G8</f>
        <v>0</v>
      </c>
    </row>
    <row r="21" spans="1:7" x14ac:dyDescent="0.25">
      <c r="A21" s="127" t="str">
        <f>'0009Z'!A10</f>
        <v>21466</v>
      </c>
      <c r="B21" s="128" t="str">
        <f>'0009Z'!B10</f>
        <v>63602</v>
      </c>
      <c r="C21" s="129" t="str">
        <f>'0009Z'!C10</f>
        <v>10232</v>
      </c>
      <c r="D21" s="128" t="str">
        <f>'0009Z'!D10</f>
        <v>20212</v>
      </c>
      <c r="E21" s="128" t="str">
        <f>'0009Z'!E10</f>
        <v>40148</v>
      </c>
      <c r="F21" s="128" t="str">
        <f>'0009Z'!F10</f>
        <v>57010</v>
      </c>
      <c r="G21" s="130" t="str">
        <f>'0009Z'!G10</f>
        <v>72161</v>
      </c>
    </row>
    <row r="22" spans="1:7" x14ac:dyDescent="0.25">
      <c r="A22" s="131" t="str">
        <f>'0009Z'!A12</f>
        <v>85870</v>
      </c>
      <c r="B22" s="132" t="str">
        <f>'0009Z'!B12</f>
        <v>333</v>
      </c>
      <c r="C22" s="133">
        <f>'0009Z'!C12</f>
        <v>0</v>
      </c>
      <c r="D22" s="132" t="str">
        <f>'0009Z'!D12</f>
        <v xml:space="preserve">10  </v>
      </c>
      <c r="E22" s="132" t="str">
        <f>'0009Z'!E12</f>
        <v xml:space="preserve">20  </v>
      </c>
      <c r="F22" s="132" t="str">
        <f>'0009Z'!F12</f>
        <v>31///</v>
      </c>
      <c r="G22" s="134">
        <f>'0009Z'!G12</f>
        <v>0</v>
      </c>
    </row>
    <row r="23" spans="1:7" x14ac:dyDescent="0.25">
      <c r="A23" s="127">
        <f>'0009Z'!A14</f>
        <v>0</v>
      </c>
      <c r="B23" s="128" t="str">
        <f>'0009Z'!B14</f>
        <v>56000</v>
      </c>
      <c r="C23" s="129" t="str">
        <f>'0009Z'!C14</f>
        <v>58002</v>
      </c>
      <c r="D23" s="128" t="str">
        <f>'0009Z'!D14</f>
        <v>69955</v>
      </c>
      <c r="E23" s="128" t="str">
        <f>'0009Z'!E14</f>
        <v xml:space="preserve">7  </v>
      </c>
      <c r="F23" s="128" t="str">
        <f>'0009Z'!F14</f>
        <v>85615</v>
      </c>
      <c r="G23" s="130" t="str">
        <f>'0009Z'!G14</f>
        <v>86457</v>
      </c>
    </row>
    <row r="24" spans="1:7" x14ac:dyDescent="0.25">
      <c r="A24" s="131" t="str">
        <f>'0009Z'!A16</f>
        <v>8</v>
      </c>
      <c r="B24" s="132" t="str">
        <f>'0009Z'!B16</f>
        <v>8</v>
      </c>
      <c r="C24" s="133" t="str">
        <f>'0009Z'!C16</f>
        <v>90010</v>
      </c>
      <c r="D24" s="132" t="str">
        <f>'0009Z'!D16</f>
        <v>90107</v>
      </c>
      <c r="E24" s="132" t="str">
        <f>'0009Z'!E16</f>
        <v>90910</v>
      </c>
      <c r="F24" s="132" t="str">
        <f>'0009Z'!F16</f>
        <v>94065</v>
      </c>
      <c r="G24" s="134" t="str">
        <f>'0009Z'!G16</f>
        <v>94140</v>
      </c>
    </row>
    <row r="25" spans="1:7" x14ac:dyDescent="0.25">
      <c r="A25" s="127" t="str">
        <f>'0009Z'!A18</f>
        <v>94245</v>
      </c>
      <c r="B25" s="128" t="str">
        <f>'0009Z'!B18</f>
        <v>94380</v>
      </c>
      <c r="C25" s="129" t="str">
        <f>'0009Z'!C18</f>
        <v>94486</v>
      </c>
      <c r="D25" s="128" t="str">
        <f>'0009Z'!D18</f>
        <v>96221</v>
      </c>
      <c r="E25" s="128" t="str">
        <f>'0009Z'!E18</f>
        <v xml:space="preserve">9  </v>
      </c>
      <c r="F25" s="128" t="str">
        <f>'0009Z'!F18</f>
        <v xml:space="preserve">9  </v>
      </c>
      <c r="G25" s="130" t="str">
        <f>'0009Z'!G18</f>
        <v xml:space="preserve">9  </v>
      </c>
    </row>
    <row r="26" spans="1:7" x14ac:dyDescent="0.25">
      <c r="A26" s="142" t="str">
        <f>'0009Z'!A20</f>
        <v xml:space="preserve">9  </v>
      </c>
      <c r="B26" s="143" t="str">
        <f>'0009Z'!B20</f>
        <v xml:space="preserve">9  </v>
      </c>
      <c r="C26" s="144" t="str">
        <f>'0009Z'!C20</f>
        <v xml:space="preserve">9  </v>
      </c>
      <c r="D26" s="143" t="str">
        <f>'0009Z'!D20</f>
        <v xml:space="preserve">9  </v>
      </c>
      <c r="E26" s="143" t="str">
        <f>'0009Z'!E20</f>
        <v xml:space="preserve">9  </v>
      </c>
      <c r="F26" s="143" t="str">
        <f>'0009Z'!F20</f>
        <v xml:space="preserve">9  </v>
      </c>
      <c r="G26" s="145" t="str">
        <f>'0009Z'!G20</f>
        <v xml:space="preserve">9  </v>
      </c>
    </row>
    <row r="27" spans="1:7" x14ac:dyDescent="0.25">
      <c r="A27" s="155" t="str">
        <f>'0009Z'!A22</f>
        <v xml:space="preserve">9  </v>
      </c>
      <c r="B27" s="156" t="str">
        <f>'0009Z'!B22</f>
        <v xml:space="preserve">9  </v>
      </c>
      <c r="C27" s="157" t="str">
        <f>'0009Z'!C22</f>
        <v xml:space="preserve">9  </v>
      </c>
      <c r="D27" s="156" t="str">
        <f>'0009Z'!D22</f>
        <v xml:space="preserve">9 </v>
      </c>
      <c r="E27" s="156" t="str">
        <f>'0009Z'!E22</f>
        <v xml:space="preserve">9 </v>
      </c>
      <c r="F27" s="156" t="str">
        <f>'0009Z'!F22</f>
        <v xml:space="preserve">555 </v>
      </c>
      <c r="G27" s="158" t="str">
        <f>'0009Z'!G22</f>
        <v>29089</v>
      </c>
    </row>
    <row r="28" spans="1:7" x14ac:dyDescent="0.25">
      <c r="A28" s="146"/>
      <c r="B28" s="147"/>
      <c r="C28" s="144">
        <f>'0009Z'!C27</f>
        <v>0</v>
      </c>
      <c r="D28" s="147"/>
      <c r="E28" s="147"/>
      <c r="F28" s="147"/>
      <c r="G28" s="148"/>
    </row>
    <row r="29" spans="1:7" x14ac:dyDescent="0.25">
      <c r="A29" s="155" t="str">
        <f>'0009Z'!A29</f>
        <v>23.2</v>
      </c>
      <c r="B29" s="160">
        <f>'0009Z'!B29</f>
        <v>21.19515897396256</v>
      </c>
      <c r="C29" s="157">
        <f>'0009Z'!C29</f>
        <v>0</v>
      </c>
      <c r="D29" s="160">
        <f>'0009Z'!D29</f>
        <v>14.2</v>
      </c>
      <c r="E29" s="160">
        <f>'0009Z'!E29</f>
        <v>13</v>
      </c>
      <c r="F29" s="156">
        <f>'0009Z'!F29</f>
        <v>0</v>
      </c>
      <c r="G29" s="158">
        <f>'0009Z'!G29</f>
        <v>0</v>
      </c>
    </row>
    <row r="30" spans="1:7" ht="15.75" customHeight="1" x14ac:dyDescent="0.25">
      <c r="A30" s="146"/>
      <c r="B30" s="147"/>
      <c r="C30" s="149">
        <f>'0009Z'!C31</f>
        <v>13.2</v>
      </c>
      <c r="D30" s="147"/>
      <c r="E30" s="147"/>
      <c r="F30" s="147"/>
      <c r="G30" s="148"/>
    </row>
    <row r="31" spans="1:7" x14ac:dyDescent="0.25">
      <c r="A31" s="159">
        <f>'0009Z'!A33</f>
        <v>21.8</v>
      </c>
      <c r="B31" s="160">
        <f>'0009Z'!B33</f>
        <v>25.160210971375882</v>
      </c>
      <c r="C31" s="161">
        <f>'0009Z'!C33</f>
        <v>1.6</v>
      </c>
      <c r="D31" s="160">
        <f>'0009Z'!D33</f>
        <v>13.2</v>
      </c>
      <c r="E31" s="160">
        <f>'0009Z'!E33</f>
        <v>13.2</v>
      </c>
      <c r="F31" s="160">
        <f>'0009Z'!F33</f>
        <v>0</v>
      </c>
      <c r="G31" s="162">
        <f>'0009Z'!G33</f>
        <v>0</v>
      </c>
    </row>
    <row r="32" spans="1:7" ht="15.75" thickBot="1" x14ac:dyDescent="0.3">
      <c r="A32" s="150">
        <f>'0009Z'!A37</f>
        <v>1.3999999999999986</v>
      </c>
      <c r="B32" s="286">
        <f>'0009Z'!B37</f>
        <v>88.507039245116019</v>
      </c>
      <c r="C32" s="151">
        <f>'0009Z'!C37</f>
        <v>14.799999999999999</v>
      </c>
      <c r="D32" s="152">
        <f>'0009Z'!D37</f>
        <v>-1</v>
      </c>
      <c r="E32" s="152">
        <f>'0009Z'!E37</f>
        <v>0.19999999999999929</v>
      </c>
      <c r="F32" s="153" t="str">
        <f>'0009Z'!F37</f>
        <v>0.5</v>
      </c>
      <c r="G32" s="154">
        <f>'0009Z'!G37</f>
        <v>0</v>
      </c>
    </row>
    <row r="33" spans="1:7" ht="36.75" customHeight="1" thickTop="1" x14ac:dyDescent="0.25">
      <c r="A33" s="585" t="s">
        <v>27</v>
      </c>
      <c r="B33" s="586"/>
      <c r="C33" s="586"/>
      <c r="D33" s="586"/>
      <c r="E33" s="586"/>
      <c r="F33" s="586"/>
      <c r="G33" s="587"/>
    </row>
    <row r="34" spans="1:7" ht="15" customHeight="1" x14ac:dyDescent="0.25">
      <c r="A34" s="588"/>
      <c r="B34" s="589"/>
      <c r="C34" s="589"/>
      <c r="D34" s="589"/>
      <c r="E34" s="589"/>
      <c r="F34" s="589"/>
      <c r="G34" s="590"/>
    </row>
    <row r="35" spans="1:7" ht="15.75" customHeight="1" thickBot="1" x14ac:dyDescent="0.3">
      <c r="A35" s="591"/>
      <c r="B35" s="592"/>
      <c r="C35" s="592"/>
      <c r="D35" s="592"/>
      <c r="E35" s="592"/>
      <c r="F35" s="592"/>
      <c r="G35" s="593"/>
    </row>
    <row r="36" spans="1:7" ht="15.75" thickTop="1" x14ac:dyDescent="0.25">
      <c r="A36" s="86" t="str">
        <f>'1200Z'!A8</f>
        <v xml:space="preserve">AA XX  </v>
      </c>
      <c r="B36" s="287" t="str">
        <f>'1200Z'!B8</f>
        <v>01121</v>
      </c>
      <c r="C36" s="87">
        <f>'1200Z'!C8</f>
        <v>78486</v>
      </c>
      <c r="D36" s="88">
        <f>IF('1200Z'!D8="","",'1200Z'!D8)</f>
        <v>46082</v>
      </c>
      <c r="E36" s="87">
        <f>'1200Z'!E8</f>
        <v>0</v>
      </c>
      <c r="F36" s="87">
        <f>'1200Z'!F8</f>
        <v>0</v>
      </c>
      <c r="G36" s="297">
        <f>'1200Z'!G8</f>
        <v>0</v>
      </c>
    </row>
    <row r="37" spans="1:7" x14ac:dyDescent="0.25">
      <c r="A37" s="95" t="str">
        <f>'1200Z'!A10</f>
        <v>31466</v>
      </c>
      <c r="B37" s="96" t="str">
        <f>'1200Z'!B10</f>
        <v>60202</v>
      </c>
      <c r="C37" s="90" t="str">
        <f>'1200Z'!C10</f>
        <v>10240</v>
      </c>
      <c r="D37" s="90" t="str">
        <f>'1200Z'!D10</f>
        <v>20212</v>
      </c>
      <c r="E37" s="90" t="str">
        <f>'1200Z'!E10</f>
        <v>40161</v>
      </c>
      <c r="F37" s="96" t="str">
        <f>'1200Z'!F10</f>
        <v>52013</v>
      </c>
      <c r="G37" s="97" t="str">
        <f>'1200Z'!G10</f>
        <v>70261</v>
      </c>
    </row>
    <row r="38" spans="1:7" x14ac:dyDescent="0.25">
      <c r="A38" s="98" t="str">
        <f>'1200Z'!A12</f>
        <v>84870</v>
      </c>
      <c r="B38" s="99" t="str">
        <f>'1200Z'!B12</f>
        <v>333</v>
      </c>
      <c r="C38" s="99">
        <f>'1200Z'!C12</f>
        <v>0</v>
      </c>
      <c r="D38" s="99" t="str">
        <f>'1200Z'!D12</f>
        <v>10309</v>
      </c>
      <c r="E38" s="99" t="str">
        <f>'1200Z'!E12</f>
        <v>20230</v>
      </c>
      <c r="F38" s="99" t="str">
        <f>'1200Z'!F12</f>
        <v>31///</v>
      </c>
      <c r="G38" s="100" t="str">
        <f>'1200Z'!G12</f>
        <v>50173</v>
      </c>
    </row>
    <row r="39" spans="1:7" x14ac:dyDescent="0.25">
      <c r="A39" s="95">
        <f>'1200Z'!A14</f>
        <v>0</v>
      </c>
      <c r="B39" s="96" t="str">
        <f>'1200Z'!B14</f>
        <v>56000</v>
      </c>
      <c r="C39" s="96" t="str">
        <f>'1200Z'!C14</f>
        <v>58000</v>
      </c>
      <c r="D39" s="96" t="str">
        <f>'1200Z'!D14</f>
        <v xml:space="preserve">6  </v>
      </c>
      <c r="E39" s="96" t="str">
        <f>'1200Z'!E14</f>
        <v>70005</v>
      </c>
      <c r="F39" s="96" t="str">
        <f>'1200Z'!F14</f>
        <v>84616</v>
      </c>
      <c r="G39" s="97" t="str">
        <f>'1200Z'!G14</f>
        <v>85458</v>
      </c>
    </row>
    <row r="40" spans="1:7" x14ac:dyDescent="0.25">
      <c r="A40" s="98" t="str">
        <f>'1200Z'!A16</f>
        <v>8</v>
      </c>
      <c r="B40" s="99" t="str">
        <f>'1200Z'!B16</f>
        <v>8</v>
      </c>
      <c r="C40" s="99" t="str">
        <f>'1200Z'!C16</f>
        <v>94062</v>
      </c>
      <c r="D40" s="99" t="str">
        <f>'1200Z'!D16</f>
        <v>94140</v>
      </c>
      <c r="E40" s="99" t="str">
        <f>'1200Z'!E16</f>
        <v>94246</v>
      </c>
      <c r="F40" s="99" t="str">
        <f>'1200Z'!F16</f>
        <v>94380</v>
      </c>
      <c r="G40" s="100" t="str">
        <f>'1200Z'!G16</f>
        <v>94487</v>
      </c>
    </row>
    <row r="41" spans="1:7" x14ac:dyDescent="0.25">
      <c r="A41" s="95" t="str">
        <f>'1200Z'!A18</f>
        <v xml:space="preserve">9  </v>
      </c>
      <c r="B41" s="96" t="str">
        <f>'1200Z'!B18</f>
        <v xml:space="preserve">9  </v>
      </c>
      <c r="C41" s="96" t="str">
        <f>'1200Z'!C18</f>
        <v xml:space="preserve">9  </v>
      </c>
      <c r="D41" s="96" t="str">
        <f>'1200Z'!D18</f>
        <v xml:space="preserve">9  </v>
      </c>
      <c r="E41" s="96" t="str">
        <f>'1200Z'!E18</f>
        <v xml:space="preserve">9  </v>
      </c>
      <c r="F41" s="96" t="str">
        <f>'1200Z'!F18</f>
        <v xml:space="preserve">9  </v>
      </c>
      <c r="G41" s="97" t="str">
        <f>'1200Z'!G18</f>
        <v xml:space="preserve">9  </v>
      </c>
    </row>
    <row r="42" spans="1:7" x14ac:dyDescent="0.25">
      <c r="A42" s="98" t="str">
        <f>'1200Z'!A20</f>
        <v xml:space="preserve">9  </v>
      </c>
      <c r="B42" s="99" t="str">
        <f>'1200Z'!B20</f>
        <v xml:space="preserve">9  </v>
      </c>
      <c r="C42" s="99" t="str">
        <f>'1200Z'!C20</f>
        <v xml:space="preserve">9  </v>
      </c>
      <c r="D42" s="99" t="str">
        <f>'1200Z'!D20</f>
        <v xml:space="preserve">9  </v>
      </c>
      <c r="E42" s="99" t="str">
        <f>'1200Z'!E20</f>
        <v xml:space="preserve">9  </v>
      </c>
      <c r="F42" s="99" t="str">
        <f>'1200Z'!F20</f>
        <v xml:space="preserve">9  </v>
      </c>
      <c r="G42" s="100" t="str">
        <f>'1200Z'!G20</f>
        <v xml:space="preserve">9  </v>
      </c>
    </row>
    <row r="43" spans="1:7" x14ac:dyDescent="0.25">
      <c r="A43" s="95" t="str">
        <f>'1200Z'!A22</f>
        <v xml:space="preserve">9  </v>
      </c>
      <c r="B43" s="96" t="str">
        <f>'1200Z'!B22</f>
        <v xml:space="preserve">9  </v>
      </c>
      <c r="C43" s="96" t="str">
        <f>'1200Z'!C22</f>
        <v xml:space="preserve">9  </v>
      </c>
      <c r="D43" s="96" t="str">
        <f>'1200Z'!D22</f>
        <v xml:space="preserve">9 </v>
      </c>
      <c r="E43" s="96" t="str">
        <f>'1200Z'!E22</f>
        <v xml:space="preserve">9 </v>
      </c>
      <c r="F43" s="96" t="str">
        <f>'1200Z'!F22</f>
        <v xml:space="preserve">555 </v>
      </c>
      <c r="G43" s="91" t="str">
        <f>'1200Z'!G22</f>
        <v>29084</v>
      </c>
    </row>
    <row r="44" spans="1:7" x14ac:dyDescent="0.25">
      <c r="A44" s="92"/>
      <c r="B44" s="93"/>
      <c r="C44" s="99">
        <f>'1200Z'!C27</f>
        <v>0</v>
      </c>
      <c r="D44" s="93"/>
      <c r="E44" s="93"/>
      <c r="F44" s="93"/>
      <c r="G44" s="94"/>
    </row>
    <row r="45" spans="1:7" x14ac:dyDescent="0.25">
      <c r="A45" s="95" t="str">
        <f>'1200Z'!A29</f>
        <v>24.0</v>
      </c>
      <c r="B45" s="90">
        <f>'1200Z'!B29</f>
        <v>21.16622098226286</v>
      </c>
      <c r="C45" s="96">
        <f>'1200Z'!C29</f>
        <v>0</v>
      </c>
      <c r="D45" s="90">
        <f>'1200Z'!D29</f>
        <v>13.2</v>
      </c>
      <c r="E45" s="90">
        <f>'1200Z'!E29</f>
        <v>14.5</v>
      </c>
      <c r="F45" s="96" t="str">
        <f>'1200Z'!F29</f>
        <v>24.5</v>
      </c>
      <c r="G45" s="97" t="str">
        <f>'1200Z'!G29</f>
        <v>30.9</v>
      </c>
    </row>
    <row r="46" spans="1:7" ht="15.75" customHeight="1" x14ac:dyDescent="0.25">
      <c r="A46" s="92"/>
      <c r="B46" s="93"/>
      <c r="C46" s="93">
        <f>'1200Z'!C31</f>
        <v>14.5</v>
      </c>
      <c r="D46" s="93"/>
      <c r="E46" s="93"/>
      <c r="F46" s="93"/>
      <c r="G46" s="94"/>
    </row>
    <row r="47" spans="1:7" ht="15.75" customHeight="1" x14ac:dyDescent="0.25">
      <c r="A47" s="89">
        <f>'1200Z'!A33</f>
        <v>22</v>
      </c>
      <c r="B47" s="90">
        <f>'1200Z'!B33</f>
        <v>25.074889124166098</v>
      </c>
      <c r="C47" s="90">
        <f>'1200Z'!C33</f>
        <v>1.6</v>
      </c>
      <c r="D47" s="90">
        <f>'1200Z'!D33</f>
        <v>14.5</v>
      </c>
      <c r="E47" s="90">
        <f>'1200Z'!E33</f>
        <v>14.5</v>
      </c>
      <c r="F47" s="90">
        <f>'1200Z'!F33</f>
        <v>23</v>
      </c>
      <c r="G47" s="91">
        <f>'1200Z'!G33</f>
        <v>22.5</v>
      </c>
    </row>
    <row r="48" spans="1:7" ht="15.75" thickBot="1" x14ac:dyDescent="0.3">
      <c r="A48" s="135">
        <f>'1200Z'!A37</f>
        <v>2</v>
      </c>
      <c r="B48" s="284">
        <f>'1200Z'!B37</f>
        <v>84.052134220232404</v>
      </c>
      <c r="C48" s="136">
        <f>'1200Z'!C37</f>
        <v>16.100000000000001</v>
      </c>
      <c r="D48" s="136">
        <f>'1200Z'!D37</f>
        <v>1.3000000000000007</v>
      </c>
      <c r="E48" s="136">
        <f>'1200Z'!E37</f>
        <v>0</v>
      </c>
      <c r="F48" s="138" t="str">
        <f>'1200Z'!F37</f>
        <v>0.0</v>
      </c>
      <c r="G48" s="139" t="str">
        <f>'1200Z'!G37</f>
        <v>0.5</v>
      </c>
    </row>
    <row r="49" spans="1:7" ht="36.75" customHeight="1" thickTop="1" x14ac:dyDescent="0.25">
      <c r="A49" s="594" t="s">
        <v>28</v>
      </c>
      <c r="B49" s="595"/>
      <c r="C49" s="595"/>
      <c r="D49" s="595"/>
      <c r="E49" s="595"/>
      <c r="F49" s="595"/>
      <c r="G49" s="596"/>
    </row>
    <row r="50" spans="1:7" ht="15" customHeight="1" x14ac:dyDescent="0.25">
      <c r="A50" s="597"/>
      <c r="B50" s="598"/>
      <c r="C50" s="598"/>
      <c r="D50" s="598"/>
      <c r="E50" s="598"/>
      <c r="F50" s="598"/>
      <c r="G50" s="599"/>
    </row>
    <row r="51" spans="1:7" ht="15.75" customHeight="1" thickBot="1" x14ac:dyDescent="0.3">
      <c r="A51" s="600"/>
      <c r="B51" s="601"/>
      <c r="C51" s="601"/>
      <c r="D51" s="601"/>
      <c r="E51" s="601"/>
      <c r="F51" s="601"/>
      <c r="G51" s="602"/>
    </row>
    <row r="52" spans="1:7" ht="15.75" thickTop="1" x14ac:dyDescent="0.25">
      <c r="A52" s="86" t="str">
        <f>'1500Z'!A8</f>
        <v xml:space="preserve">AA XX  </v>
      </c>
      <c r="B52" s="287" t="str">
        <f>'1500Z'!B8</f>
        <v>01151</v>
      </c>
      <c r="C52" s="87">
        <f>'1500Z'!C8</f>
        <v>78486</v>
      </c>
      <c r="D52" s="88">
        <f>IF('1500Z'!D8="","",'1500Z'!D8)</f>
        <v>46082</v>
      </c>
      <c r="E52" s="87">
        <f>'1500Z'!E8</f>
        <v>0</v>
      </c>
      <c r="F52" s="87">
        <f>'1500Z'!F8</f>
        <v>0</v>
      </c>
      <c r="G52" s="297">
        <f>'1500Z'!G8</f>
        <v>0</v>
      </c>
    </row>
    <row r="53" spans="1:7" x14ac:dyDescent="0.25">
      <c r="A53" s="95" t="str">
        <f>'1500Z'!A10</f>
        <v>32566</v>
      </c>
      <c r="B53" s="96" t="str">
        <f>'1500Z'!B10</f>
        <v>51502</v>
      </c>
      <c r="C53" s="96" t="str">
        <f>'1500Z'!C10</f>
        <v>10290</v>
      </c>
      <c r="D53" s="96" t="str">
        <f>'1500Z'!D10</f>
        <v>20218</v>
      </c>
      <c r="E53" s="96" t="str">
        <f>'1500Z'!E10</f>
        <v>40171</v>
      </c>
      <c r="F53" s="96" t="str">
        <f>'1500Z'!F10</f>
        <v>52010</v>
      </c>
      <c r="G53" s="97">
        <f>'1500Z'!G10</f>
        <v>0</v>
      </c>
    </row>
    <row r="54" spans="1:7" x14ac:dyDescent="0.25">
      <c r="A54" s="98" t="str">
        <f>'1500Z'!A12</f>
        <v>84230</v>
      </c>
      <c r="B54" s="99" t="str">
        <f>'1500Z'!B12</f>
        <v>333</v>
      </c>
      <c r="C54" s="99">
        <f>'1500Z'!C12</f>
        <v>0</v>
      </c>
      <c r="D54" s="99" t="str">
        <f>'1500Z'!D12</f>
        <v xml:space="preserve">10  </v>
      </c>
      <c r="E54" s="99" t="str">
        <f>'1500Z'!E12</f>
        <v xml:space="preserve">20  </v>
      </c>
      <c r="F54" s="99" t="str">
        <f>'1500Z'!F12</f>
        <v>30///</v>
      </c>
      <c r="G54" s="100">
        <f>'1500Z'!G12</f>
        <v>0</v>
      </c>
    </row>
    <row r="55" spans="1:7" x14ac:dyDescent="0.25">
      <c r="A55" s="95">
        <f>'1500Z'!A14</f>
        <v>0</v>
      </c>
      <c r="B55" s="96" t="str">
        <f>'1500Z'!B14</f>
        <v>56200</v>
      </c>
      <c r="C55" s="96" t="str">
        <f>'1500Z'!C14</f>
        <v>58000</v>
      </c>
      <c r="D55" s="96" t="str">
        <f>'1500Z'!D14</f>
        <v xml:space="preserve">6  </v>
      </c>
      <c r="E55" s="96" t="str">
        <f>'1500Z'!E14</f>
        <v xml:space="preserve">7  </v>
      </c>
      <c r="F55" s="96" t="str">
        <f>'1500Z'!F14</f>
        <v>84820</v>
      </c>
      <c r="G55" s="97" t="str">
        <f>'1500Z'!G14</f>
        <v>83358</v>
      </c>
    </row>
    <row r="56" spans="1:7" x14ac:dyDescent="0.25">
      <c r="A56" s="98" t="str">
        <f>'1500Z'!A16</f>
        <v>8</v>
      </c>
      <c r="B56" s="99" t="str">
        <f>'1500Z'!B16</f>
        <v>8</v>
      </c>
      <c r="C56" s="99" t="str">
        <f>'1500Z'!C16</f>
        <v>94083</v>
      </c>
      <c r="D56" s="99" t="str">
        <f>'1500Z'!D16</f>
        <v>94130</v>
      </c>
      <c r="E56" s="99" t="str">
        <f>'1500Z'!E16</f>
        <v>94234</v>
      </c>
      <c r="F56" s="99" t="str">
        <f>'1500Z'!F16</f>
        <v>94322</v>
      </c>
      <c r="G56" s="100" t="str">
        <f>'1500Z'!G16</f>
        <v>94427</v>
      </c>
    </row>
    <row r="57" spans="1:7" x14ac:dyDescent="0.25">
      <c r="A57" s="95" t="str">
        <f>'1500Z'!A18</f>
        <v xml:space="preserve">9  </v>
      </c>
      <c r="B57" s="96" t="str">
        <f>'1500Z'!B18</f>
        <v xml:space="preserve">9  </v>
      </c>
      <c r="C57" s="96" t="str">
        <f>'1500Z'!C18</f>
        <v xml:space="preserve">9  </v>
      </c>
      <c r="D57" s="96" t="str">
        <f>'1500Z'!D18</f>
        <v xml:space="preserve">9  </v>
      </c>
      <c r="E57" s="96" t="str">
        <f>'1500Z'!E18</f>
        <v xml:space="preserve">9  </v>
      </c>
      <c r="F57" s="96" t="str">
        <f>'1500Z'!F18</f>
        <v xml:space="preserve">9  </v>
      </c>
      <c r="G57" s="97" t="str">
        <f>'1500Z'!G18</f>
        <v xml:space="preserve">9  </v>
      </c>
    </row>
    <row r="58" spans="1:7" x14ac:dyDescent="0.25">
      <c r="A58" s="98" t="str">
        <f>'1500Z'!A20</f>
        <v xml:space="preserve">9  </v>
      </c>
      <c r="B58" s="99" t="str">
        <f>'1500Z'!B20</f>
        <v xml:space="preserve">9  </v>
      </c>
      <c r="C58" s="99" t="str">
        <f>'1500Z'!C20</f>
        <v xml:space="preserve">9  </v>
      </c>
      <c r="D58" s="99" t="str">
        <f>'1500Z'!D20</f>
        <v xml:space="preserve">9  </v>
      </c>
      <c r="E58" s="99" t="str">
        <f>'1500Z'!E20</f>
        <v xml:space="preserve">9  </v>
      </c>
      <c r="F58" s="99" t="str">
        <f>'1500Z'!F20</f>
        <v xml:space="preserve">9  </v>
      </c>
      <c r="G58" s="100" t="str">
        <f>'1500Z'!G20</f>
        <v xml:space="preserve">9  </v>
      </c>
    </row>
    <row r="59" spans="1:7" x14ac:dyDescent="0.25">
      <c r="A59" s="95" t="str">
        <f>'1500Z'!A22</f>
        <v xml:space="preserve">9  </v>
      </c>
      <c r="B59" s="96" t="str">
        <f>'1500Z'!B22</f>
        <v xml:space="preserve">9  </v>
      </c>
      <c r="C59" s="96" t="str">
        <f>'1500Z'!C22</f>
        <v xml:space="preserve">9  </v>
      </c>
      <c r="D59" s="96" t="str">
        <f>'1500Z'!D22</f>
        <v xml:space="preserve">9 </v>
      </c>
      <c r="E59" s="96" t="str">
        <f>'1500Z'!E22</f>
        <v xml:space="preserve">9 </v>
      </c>
      <c r="F59" s="96" t="str">
        <f>'1500Z'!F22</f>
        <v xml:space="preserve">555 </v>
      </c>
      <c r="G59" s="97" t="str">
        <f>'1500Z'!G22</f>
        <v>29065</v>
      </c>
    </row>
    <row r="60" spans="1:7" x14ac:dyDescent="0.25">
      <c r="A60" s="98"/>
      <c r="B60" s="93"/>
      <c r="C60" s="99">
        <f>'1500Z'!C27</f>
        <v>0</v>
      </c>
      <c r="D60" s="93"/>
      <c r="E60" s="93"/>
      <c r="F60" s="93"/>
      <c r="G60" s="94"/>
    </row>
    <row r="61" spans="1:7" x14ac:dyDescent="0.25">
      <c r="A61" s="95" t="str">
        <f>'1500Z'!A29</f>
        <v>29.0</v>
      </c>
      <c r="B61" s="96">
        <f>'1500Z'!B29</f>
        <v>21.841838899119494</v>
      </c>
      <c r="C61" s="96">
        <f>'1500Z'!C29</f>
        <v>0</v>
      </c>
      <c r="D61" s="96">
        <f>'1500Z'!D29</f>
        <v>14.5</v>
      </c>
      <c r="E61" s="96">
        <f>'1500Z'!E29</f>
        <v>15.5</v>
      </c>
      <c r="F61" s="96">
        <f>'1500Z'!F29</f>
        <v>0</v>
      </c>
      <c r="G61" s="97">
        <f>'1500Z'!G29</f>
        <v>0</v>
      </c>
    </row>
    <row r="62" spans="1:7" x14ac:dyDescent="0.25">
      <c r="A62" s="98">
        <f>'1500Z'!A31</f>
        <v>0</v>
      </c>
      <c r="B62" s="99">
        <f>'1500Z'!B31</f>
        <v>0</v>
      </c>
      <c r="C62" s="99">
        <f>'1500Z'!C31</f>
        <v>15.5</v>
      </c>
      <c r="D62" s="99">
        <f>'1500Z'!D31</f>
        <v>0</v>
      </c>
      <c r="E62" s="99">
        <f>'1500Z'!E31</f>
        <v>0</v>
      </c>
      <c r="F62" s="99">
        <f>'1500Z'!F31</f>
        <v>0</v>
      </c>
      <c r="G62" s="100">
        <f>'1500Z'!G31</f>
        <v>0</v>
      </c>
    </row>
    <row r="63" spans="1:7" x14ac:dyDescent="0.25">
      <c r="A63" s="95">
        <f>'1500Z'!A33</f>
        <v>23.8</v>
      </c>
      <c r="B63" s="96">
        <f>'1500Z'!B33</f>
        <v>25.949729121661182</v>
      </c>
      <c r="C63" s="96">
        <f>'1500Z'!C33</f>
        <v>1.6</v>
      </c>
      <c r="D63" s="96">
        <f>'1500Z'!D33</f>
        <v>15.5</v>
      </c>
      <c r="E63" s="96">
        <f>'1500Z'!E33</f>
        <v>15.5</v>
      </c>
      <c r="F63" s="96">
        <f>'1500Z'!F33</f>
        <v>0</v>
      </c>
      <c r="G63" s="97">
        <f>'1500Z'!G33</f>
        <v>0</v>
      </c>
    </row>
    <row r="64" spans="1:7" ht="15.75" thickBot="1" x14ac:dyDescent="0.3">
      <c r="A64" s="137">
        <f>'1500Z'!A37</f>
        <v>5.1999999999999993</v>
      </c>
      <c r="B64" s="138">
        <f>'1500Z'!B37</f>
        <v>64.754308634883856</v>
      </c>
      <c r="C64" s="138">
        <f>'1500Z'!C37</f>
        <v>17.100000000000001</v>
      </c>
      <c r="D64" s="138">
        <f>'1500Z'!D37</f>
        <v>1</v>
      </c>
      <c r="E64" s="138">
        <f>'1500Z'!E37</f>
        <v>0</v>
      </c>
      <c r="F64" s="138" t="str">
        <f>'1500Z'!F37</f>
        <v>0.0</v>
      </c>
      <c r="G64" s="139">
        <f>'1500Z'!G37</f>
        <v>0</v>
      </c>
    </row>
    <row r="65" spans="1:8" ht="16.5" hidden="1" customHeight="1" thickTop="1" thickBot="1" x14ac:dyDescent="0.3">
      <c r="A65" s="621" t="s">
        <v>29</v>
      </c>
      <c r="B65" s="622"/>
      <c r="C65" s="622"/>
      <c r="D65" s="622"/>
      <c r="E65" s="622"/>
      <c r="F65" s="622"/>
      <c r="G65" s="623"/>
      <c r="H65" s="3"/>
    </row>
    <row r="66" spans="1:8" ht="15.75" customHeight="1" thickTop="1" x14ac:dyDescent="0.25">
      <c r="A66" s="624"/>
      <c r="B66" s="625"/>
      <c r="C66" s="625"/>
      <c r="D66" s="625"/>
      <c r="E66" s="625"/>
      <c r="F66" s="625"/>
      <c r="G66" s="626"/>
      <c r="H66" s="3"/>
    </row>
    <row r="67" spans="1:8" ht="15.75" customHeight="1" thickBot="1" x14ac:dyDescent="0.3">
      <c r="A67" s="627"/>
      <c r="B67" s="628"/>
      <c r="C67" s="628"/>
      <c r="D67" s="628"/>
      <c r="E67" s="628"/>
      <c r="F67" s="628"/>
      <c r="G67" s="629"/>
      <c r="H67" s="3"/>
    </row>
    <row r="68" spans="1:8" ht="15.75" thickTop="1" x14ac:dyDescent="0.25">
      <c r="A68" s="86" t="str">
        <f>'1800Z'!A8</f>
        <v xml:space="preserve">AA XX  </v>
      </c>
      <c r="B68" s="287" t="str">
        <f>'1800Z'!B8</f>
        <v>01181</v>
      </c>
      <c r="C68" s="87">
        <f>'1800Z'!C8</f>
        <v>78486</v>
      </c>
      <c r="D68" s="88">
        <f>IF('1800Z'!D8="","",'1800Z'!D8)</f>
        <v>46082</v>
      </c>
      <c r="E68" s="87">
        <f>'1800Z'!E8</f>
        <v>0</v>
      </c>
      <c r="F68" s="87">
        <f>'1800Z'!F8</f>
        <v>0</v>
      </c>
      <c r="G68" s="300">
        <f>'1800Z'!G8</f>
        <v>0</v>
      </c>
      <c r="H68" s="3"/>
    </row>
    <row r="69" spans="1:8" x14ac:dyDescent="0.25">
      <c r="A69" s="95" t="str">
        <f>'1800Z'!A10</f>
        <v>32566</v>
      </c>
      <c r="B69" s="96" t="str">
        <f>'1800Z'!B10</f>
        <v>71304</v>
      </c>
      <c r="C69" s="90" t="str">
        <f>'1800Z'!C10</f>
        <v>10306</v>
      </c>
      <c r="D69" s="90" t="str">
        <f>'1800Z'!D10</f>
        <v>20227</v>
      </c>
      <c r="E69" s="90" t="str">
        <f>'1800Z'!E10</f>
        <v>40154</v>
      </c>
      <c r="F69" s="96" t="str">
        <f>'1800Z'!F10</f>
        <v>57015</v>
      </c>
      <c r="G69" s="103" t="str">
        <f>'1800Z'!G10</f>
        <v>7</v>
      </c>
      <c r="H69" s="3"/>
    </row>
    <row r="70" spans="1:8" x14ac:dyDescent="0.25">
      <c r="A70" s="98" t="str">
        <f>'1800Z'!A12</f>
        <v>84230</v>
      </c>
      <c r="B70" s="99" t="str">
        <f>'1800Z'!B12</f>
        <v>333</v>
      </c>
      <c r="C70" s="99">
        <f>'1800Z'!C12</f>
        <v>0</v>
      </c>
      <c r="D70" s="99" t="str">
        <f>'1800Z'!D12</f>
        <v>10313</v>
      </c>
      <c r="E70" s="99" t="str">
        <f>'1800Z'!E12</f>
        <v>20230</v>
      </c>
      <c r="F70" s="99" t="str">
        <f>'1800Z'!F12</f>
        <v>30///</v>
      </c>
      <c r="G70" s="140">
        <f>'1800Z'!G12</f>
        <v>0</v>
      </c>
      <c r="H70" s="3"/>
    </row>
    <row r="71" spans="1:8" x14ac:dyDescent="0.25">
      <c r="A71" s="95">
        <f>'1800Z'!A14</f>
        <v>0</v>
      </c>
      <c r="B71" s="96" t="str">
        <f>'1800Z'!B14</f>
        <v>56200</v>
      </c>
      <c r="C71" s="96" t="str">
        <f>'1800Z'!C14</f>
        <v>59001</v>
      </c>
      <c r="D71" s="96" t="str">
        <f>'1800Z'!D14</f>
        <v xml:space="preserve">6  </v>
      </c>
      <c r="E71" s="96" t="str">
        <f>'1800Z'!E14</f>
        <v xml:space="preserve">7  </v>
      </c>
      <c r="F71" s="96" t="str">
        <f>'1800Z'!F14</f>
        <v>84820</v>
      </c>
      <c r="G71" s="103" t="str">
        <f>'1800Z'!G14</f>
        <v>85358</v>
      </c>
      <c r="H71" s="3"/>
    </row>
    <row r="72" spans="1:8" x14ac:dyDescent="0.25">
      <c r="A72" s="98" t="str">
        <f>'1800Z'!A16</f>
        <v>8</v>
      </c>
      <c r="B72" s="99" t="str">
        <f>'1800Z'!B16</f>
        <v>8</v>
      </c>
      <c r="C72" s="99" t="str">
        <f>'1800Z'!C16</f>
        <v>94080</v>
      </c>
      <c r="D72" s="99" t="str">
        <f>'1800Z'!D16</f>
        <v>94130</v>
      </c>
      <c r="E72" s="99" t="str">
        <f>'1800Z'!E16</f>
        <v>94234</v>
      </c>
      <c r="F72" s="99" t="str">
        <f>'1800Z'!F16</f>
        <v>94322</v>
      </c>
      <c r="G72" s="140" t="str">
        <f>'1800Z'!G16</f>
        <v>94428</v>
      </c>
      <c r="H72" s="3"/>
    </row>
    <row r="73" spans="1:8" x14ac:dyDescent="0.25">
      <c r="A73" s="95" t="str">
        <f>'1800Z'!A18</f>
        <v xml:space="preserve">9  </v>
      </c>
      <c r="B73" s="96" t="str">
        <f>'1800Z'!B18</f>
        <v xml:space="preserve">9  </v>
      </c>
      <c r="C73" s="96" t="str">
        <f>'1800Z'!C18</f>
        <v xml:space="preserve">9  </v>
      </c>
      <c r="D73" s="96" t="str">
        <f>'1800Z'!D18</f>
        <v xml:space="preserve">9  </v>
      </c>
      <c r="E73" s="96" t="str">
        <f>'1800Z'!E18</f>
        <v xml:space="preserve">9  </v>
      </c>
      <c r="F73" s="96" t="str">
        <f>'1800Z'!F18</f>
        <v xml:space="preserve">9  </v>
      </c>
      <c r="G73" s="103" t="str">
        <f>'1800Z'!G18</f>
        <v xml:space="preserve">9  </v>
      </c>
      <c r="H73" s="3"/>
    </row>
    <row r="74" spans="1:8" x14ac:dyDescent="0.25">
      <c r="A74" s="98" t="str">
        <f>'1800Z'!A20</f>
        <v xml:space="preserve">9  </v>
      </c>
      <c r="B74" s="99" t="str">
        <f>'1800Z'!B20</f>
        <v xml:space="preserve">9  </v>
      </c>
      <c r="C74" s="99" t="str">
        <f>'1800Z'!C20</f>
        <v xml:space="preserve">9  </v>
      </c>
      <c r="D74" s="99" t="str">
        <f>'1800Z'!D20</f>
        <v xml:space="preserve">9  </v>
      </c>
      <c r="E74" s="99" t="str">
        <f>'1800Z'!E20</f>
        <v xml:space="preserve">9  </v>
      </c>
      <c r="F74" s="99" t="str">
        <f>'1800Z'!F20</f>
        <v xml:space="preserve">9  </v>
      </c>
      <c r="G74" s="140" t="str">
        <f>'1800Z'!G20</f>
        <v xml:space="preserve">9  </v>
      </c>
      <c r="H74" s="3"/>
    </row>
    <row r="75" spans="1:8" x14ac:dyDescent="0.25">
      <c r="A75" s="95" t="str">
        <f>'1800Z'!A22</f>
        <v xml:space="preserve">9  </v>
      </c>
      <c r="B75" s="96" t="str">
        <f>'1800Z'!B22</f>
        <v xml:space="preserve">9  </v>
      </c>
      <c r="C75" s="96" t="str">
        <f>'1800Z'!C22</f>
        <v xml:space="preserve">9  </v>
      </c>
      <c r="D75" s="96" t="str">
        <f>'1800Z'!D22</f>
        <v xml:space="preserve">9 </v>
      </c>
      <c r="E75" s="96" t="str">
        <f>'1800Z'!E22</f>
        <v xml:space="preserve">9 </v>
      </c>
      <c r="F75" s="96" t="str">
        <f>'1800Z'!F22</f>
        <v xml:space="preserve">555 </v>
      </c>
      <c r="G75" s="101" t="str">
        <f>'1800Z'!G22</f>
        <v>29062</v>
      </c>
      <c r="H75" s="3"/>
    </row>
    <row r="76" spans="1:8" x14ac:dyDescent="0.25">
      <c r="A76" s="92"/>
      <c r="B76" s="93"/>
      <c r="C76" s="99">
        <f>'1800Z'!C27</f>
        <v>0</v>
      </c>
      <c r="D76" s="93"/>
      <c r="E76" s="93"/>
      <c r="F76" s="93"/>
      <c r="G76" s="102"/>
      <c r="H76" s="3"/>
    </row>
    <row r="77" spans="1:8" x14ac:dyDescent="0.25">
      <c r="A77" s="95" t="str">
        <f>'1800Z'!A29</f>
        <v>30.6</v>
      </c>
      <c r="B77" s="90">
        <f>'1800Z'!B29</f>
        <v>22.718649417905155</v>
      </c>
      <c r="C77" s="96">
        <f>'1800Z'!C29</f>
        <v>0</v>
      </c>
      <c r="D77" s="90">
        <f>'1800Z'!D29</f>
        <v>15.5</v>
      </c>
      <c r="E77" s="90">
        <f>'1800Z'!E29</f>
        <v>13.9</v>
      </c>
      <c r="F77" s="96" t="str">
        <f>'1800Z'!F29</f>
        <v>31.3</v>
      </c>
      <c r="G77" s="103">
        <f>'1800Z'!G29</f>
        <v>0</v>
      </c>
      <c r="H77" s="3"/>
    </row>
    <row r="78" spans="1:8" x14ac:dyDescent="0.25">
      <c r="A78" s="92"/>
      <c r="B78" s="93"/>
      <c r="C78" s="93">
        <f>'1800Z'!C31</f>
        <v>13.8</v>
      </c>
      <c r="D78" s="93"/>
      <c r="E78" s="93"/>
      <c r="F78" s="93"/>
      <c r="G78" s="102"/>
      <c r="H78" s="3"/>
    </row>
    <row r="79" spans="1:8" x14ac:dyDescent="0.25">
      <c r="A79" s="89">
        <f>'1800Z'!A33</f>
        <v>24.8</v>
      </c>
      <c r="B79" s="90">
        <f>'1800Z'!B33</f>
        <v>27.361008686216181</v>
      </c>
      <c r="C79" s="90">
        <f>'1800Z'!C33</f>
        <v>1.6</v>
      </c>
      <c r="D79" s="90">
        <f>'1800Z'!D33</f>
        <v>13.8</v>
      </c>
      <c r="E79" s="90">
        <f>'1800Z'!E33</f>
        <v>13.8</v>
      </c>
      <c r="F79" s="90">
        <f>'1800Z'!F33</f>
        <v>24</v>
      </c>
      <c r="G79" s="101">
        <f>'1800Z'!G33</f>
        <v>0</v>
      </c>
      <c r="H79" s="3"/>
    </row>
    <row r="80" spans="1:8" ht="15.75" thickBot="1" x14ac:dyDescent="0.3">
      <c r="A80" s="118">
        <f>'1800Z'!A37</f>
        <v>5.8000000000000007</v>
      </c>
      <c r="B80" s="288">
        <f>'1800Z'!B37</f>
        <v>62.264414907642553</v>
      </c>
      <c r="C80" s="119">
        <f>'1800Z'!C37</f>
        <v>15.4</v>
      </c>
      <c r="D80" s="119">
        <f>'1800Z'!D37</f>
        <v>-1.6999999999999993</v>
      </c>
      <c r="E80" s="119">
        <f>'1800Z'!E37</f>
        <v>-9.9999999999999645E-2</v>
      </c>
      <c r="F80" s="282" t="str">
        <f>'1800Z'!F37</f>
        <v>0.0</v>
      </c>
      <c r="G80" s="289">
        <f>'1800Z'!G37</f>
        <v>0</v>
      </c>
      <c r="H80" s="3"/>
    </row>
    <row r="81" spans="1:8" ht="15.75" customHeight="1" thickTop="1" x14ac:dyDescent="0.25">
      <c r="A81" s="630" t="s">
        <v>30</v>
      </c>
      <c r="B81" s="631"/>
      <c r="C81" s="631"/>
      <c r="D81" s="631"/>
      <c r="E81" s="631"/>
      <c r="F81" s="631"/>
      <c r="G81" s="632"/>
      <c r="H81" s="3"/>
    </row>
    <row r="82" spans="1:8" ht="15.75" customHeight="1" x14ac:dyDescent="0.25">
      <c r="A82" s="633"/>
      <c r="B82" s="634"/>
      <c r="C82" s="634"/>
      <c r="D82" s="634"/>
      <c r="E82" s="634"/>
      <c r="F82" s="634"/>
      <c r="G82" s="635"/>
      <c r="H82" s="3"/>
    </row>
    <row r="83" spans="1:8" ht="15" customHeight="1" thickBot="1" x14ac:dyDescent="0.3">
      <c r="A83" s="636"/>
      <c r="B83" s="637"/>
      <c r="C83" s="637"/>
      <c r="D83" s="637"/>
      <c r="E83" s="637"/>
      <c r="F83" s="637"/>
      <c r="G83" s="638"/>
      <c r="H83" s="3"/>
    </row>
    <row r="84" spans="1:8" ht="15.75" customHeight="1" thickTop="1" x14ac:dyDescent="0.25">
      <c r="A84" s="106" t="str">
        <f>'2100Z'!A8</f>
        <v xml:space="preserve">AA XX  </v>
      </c>
      <c r="B84" s="290" t="str">
        <f>'2100Z'!B8</f>
        <v>01211</v>
      </c>
      <c r="C84" s="107">
        <f>'2100Z'!C8</f>
        <v>78486</v>
      </c>
      <c r="D84" s="108">
        <f>IF('2100Z'!D8="","",'2100Z'!D8)</f>
        <v>46082</v>
      </c>
      <c r="E84" s="107">
        <f>'2100Z'!E8</f>
        <v>0</v>
      </c>
      <c r="F84" s="107">
        <f>'2100Z'!F8</f>
        <v>0</v>
      </c>
      <c r="G84" s="301">
        <f>'2100Z'!G8</f>
        <v>0</v>
      </c>
      <c r="H84" s="3"/>
    </row>
    <row r="85" spans="1:8" x14ac:dyDescent="0.25">
      <c r="A85" s="95" t="str">
        <f>'2100Z'!A10</f>
        <v>32566</v>
      </c>
      <c r="B85" s="96" t="str">
        <f>'2100Z'!B10</f>
        <v>71204</v>
      </c>
      <c r="C85" s="90" t="str">
        <f>'2100Z'!C10</f>
        <v>10290</v>
      </c>
      <c r="D85" s="90" t="str">
        <f>'2100Z'!D10</f>
        <v>20227</v>
      </c>
      <c r="E85" s="90" t="str">
        <f>'2100Z'!E10</f>
        <v>40141</v>
      </c>
      <c r="F85" s="96" t="str">
        <f>'2100Z'!F10</f>
        <v>57013</v>
      </c>
      <c r="G85" s="103" t="str">
        <f>'2100Z'!G10</f>
        <v>7</v>
      </c>
      <c r="H85" s="3"/>
    </row>
    <row r="86" spans="1:8" x14ac:dyDescent="0.25">
      <c r="A86" s="98" t="str">
        <f>'2100Z'!A12</f>
        <v>83270</v>
      </c>
      <c r="B86" s="99" t="str">
        <f>'2100Z'!B12</f>
        <v>333</v>
      </c>
      <c r="C86" s="99">
        <f>'2100Z'!C12</f>
        <v>0</v>
      </c>
      <c r="D86" s="99" t="str">
        <f>'2100Z'!D12</f>
        <v xml:space="preserve">10  </v>
      </c>
      <c r="E86" s="99" t="str">
        <f>'2100Z'!E12</f>
        <v xml:space="preserve">20  </v>
      </c>
      <c r="F86" s="99" t="str">
        <f>'2100Z'!F12</f>
        <v>30///</v>
      </c>
      <c r="G86" s="140">
        <f>'2100Z'!G12</f>
        <v>0</v>
      </c>
      <c r="H86" s="3"/>
    </row>
    <row r="87" spans="1:8" x14ac:dyDescent="0.25">
      <c r="A87" s="95">
        <f>'2100Z'!A14</f>
        <v>0</v>
      </c>
      <c r="B87" s="96" t="str">
        <f>'2100Z'!B14</f>
        <v>56000</v>
      </c>
      <c r="C87" s="96" t="str">
        <f>'2100Z'!C14</f>
        <v>59002</v>
      </c>
      <c r="D87" s="96" t="str">
        <f>'2100Z'!D14</f>
        <v xml:space="preserve">6  </v>
      </c>
      <c r="E87" s="96" t="str">
        <f>'2100Z'!E14</f>
        <v xml:space="preserve">7  </v>
      </c>
      <c r="F87" s="96" t="str">
        <f>'2100Z'!F14</f>
        <v>83820</v>
      </c>
      <c r="G87" s="103" t="str">
        <f>'2100Z'!G14</f>
        <v>86458</v>
      </c>
      <c r="H87" s="3"/>
    </row>
    <row r="88" spans="1:8" x14ac:dyDescent="0.25">
      <c r="A88" s="98" t="str">
        <f>'2100Z'!A16</f>
        <v>8</v>
      </c>
      <c r="B88" s="99" t="str">
        <f>'2100Z'!B16</f>
        <v>8</v>
      </c>
      <c r="C88" s="99" t="str">
        <f>'2100Z'!C16</f>
        <v>94080</v>
      </c>
      <c r="D88" s="99" t="str">
        <f>'2100Z'!D16</f>
        <v>94140</v>
      </c>
      <c r="E88" s="99" t="str">
        <f>'2100Z'!E16</f>
        <v>94247</v>
      </c>
      <c r="F88" s="99" t="str">
        <f>'2100Z'!F16</f>
        <v>94320</v>
      </c>
      <c r="G88" s="140" t="str">
        <f>'2100Z'!G16</f>
        <v>94428</v>
      </c>
      <c r="H88" s="3"/>
    </row>
    <row r="89" spans="1:8" x14ac:dyDescent="0.25">
      <c r="A89" s="95" t="str">
        <f>'2100Z'!A18</f>
        <v xml:space="preserve">9  </v>
      </c>
      <c r="B89" s="96" t="str">
        <f>'2100Z'!B18</f>
        <v xml:space="preserve">9  </v>
      </c>
      <c r="C89" s="96" t="str">
        <f>'2100Z'!C18</f>
        <v xml:space="preserve">9  </v>
      </c>
      <c r="D89" s="96" t="str">
        <f>'2100Z'!D18</f>
        <v xml:space="preserve">9  </v>
      </c>
      <c r="E89" s="96" t="str">
        <f>'2100Z'!E18</f>
        <v xml:space="preserve">9  </v>
      </c>
      <c r="F89" s="96" t="str">
        <f>'2100Z'!F18</f>
        <v xml:space="preserve">9  </v>
      </c>
      <c r="G89" s="103" t="str">
        <f>'2100Z'!G18</f>
        <v xml:space="preserve">9  </v>
      </c>
      <c r="H89" s="3"/>
    </row>
    <row r="90" spans="1:8" x14ac:dyDescent="0.25">
      <c r="A90" s="98" t="str">
        <f>'2100Z'!A20</f>
        <v xml:space="preserve">9  </v>
      </c>
      <c r="B90" s="99" t="str">
        <f>'2100Z'!B20</f>
        <v xml:space="preserve">9  </v>
      </c>
      <c r="C90" s="99" t="str">
        <f>'2100Z'!C20</f>
        <v xml:space="preserve">9  </v>
      </c>
      <c r="D90" s="99" t="str">
        <f>'2100Z'!D20</f>
        <v xml:space="preserve">9  </v>
      </c>
      <c r="E90" s="99" t="str">
        <f>'2100Z'!E20</f>
        <v xml:space="preserve">9  </v>
      </c>
      <c r="F90" s="99" t="str">
        <f>'2100Z'!F20</f>
        <v xml:space="preserve">9  </v>
      </c>
      <c r="G90" s="140" t="str">
        <f>'2100Z'!G20</f>
        <v xml:space="preserve">9  </v>
      </c>
      <c r="H90" s="3"/>
    </row>
    <row r="91" spans="1:8" x14ac:dyDescent="0.25">
      <c r="A91" s="95" t="str">
        <f>'2100Z'!A22</f>
        <v xml:space="preserve">9  </v>
      </c>
      <c r="B91" s="96" t="str">
        <f>'2100Z'!B22</f>
        <v xml:space="preserve">9  </v>
      </c>
      <c r="C91" s="96" t="str">
        <f>'2100Z'!C22</f>
        <v xml:space="preserve">9  </v>
      </c>
      <c r="D91" s="96" t="str">
        <f>'2100Z'!D22</f>
        <v xml:space="preserve">9 </v>
      </c>
      <c r="E91" s="96" t="str">
        <f>'2100Z'!E22</f>
        <v xml:space="preserve">9 </v>
      </c>
      <c r="F91" s="96" t="str">
        <f>'2100Z'!F22</f>
        <v xml:space="preserve">555 </v>
      </c>
      <c r="G91" s="101" t="str">
        <f>'2100Z'!G22</f>
        <v>29068</v>
      </c>
      <c r="H91" s="3"/>
    </row>
    <row r="92" spans="1:8" s="2" customFormat="1" x14ac:dyDescent="0.25">
      <c r="A92" s="92"/>
      <c r="B92" s="93"/>
      <c r="C92" s="99">
        <f>'2100Z'!C27</f>
        <v>0</v>
      </c>
      <c r="D92" s="93"/>
      <c r="E92" s="93"/>
      <c r="F92" s="93"/>
      <c r="G92" s="102"/>
      <c r="H92" s="4"/>
    </row>
    <row r="93" spans="1:8" x14ac:dyDescent="0.25">
      <c r="A93" s="95" t="str">
        <f>'2100Z'!A29</f>
        <v>29.0</v>
      </c>
      <c r="B93" s="90">
        <f>'2100Z'!B29</f>
        <v>22.749623000401431</v>
      </c>
      <c r="C93" s="96">
        <f>'2100Z'!C29</f>
        <v>0</v>
      </c>
      <c r="D93" s="90">
        <f>'2100Z'!D29</f>
        <v>13.8</v>
      </c>
      <c r="E93" s="90">
        <f>'2100Z'!E29</f>
        <v>12.7</v>
      </c>
      <c r="F93" s="96">
        <f>'2100Z'!F29</f>
        <v>0</v>
      </c>
      <c r="G93" s="103">
        <f>'2100Z'!G29</f>
        <v>0</v>
      </c>
      <c r="H93" s="3"/>
    </row>
    <row r="94" spans="1:8" x14ac:dyDescent="0.25">
      <c r="A94" s="92"/>
      <c r="B94" s="93"/>
      <c r="C94" s="93">
        <f>'2100Z'!C31</f>
        <v>12.5</v>
      </c>
      <c r="D94" s="93"/>
      <c r="E94" s="93"/>
      <c r="F94" s="93"/>
      <c r="G94" s="102"/>
      <c r="H94" s="3"/>
    </row>
    <row r="95" spans="1:8" x14ac:dyDescent="0.25">
      <c r="A95" s="89">
        <f>'2100Z'!A33</f>
        <v>24.4</v>
      </c>
      <c r="B95" s="90">
        <f>'2100Z'!B33</f>
        <v>27.43648094177933</v>
      </c>
      <c r="C95" s="90">
        <f>'2100Z'!C33</f>
        <v>1.6</v>
      </c>
      <c r="D95" s="90">
        <f>'2100Z'!D33</f>
        <v>12.5</v>
      </c>
      <c r="E95" s="90">
        <f>'2100Z'!E33</f>
        <v>12.5</v>
      </c>
      <c r="F95" s="90">
        <f>'2100Z'!F33</f>
        <v>0</v>
      </c>
      <c r="G95" s="101">
        <f>'2100Z'!G33</f>
        <v>0</v>
      </c>
      <c r="H95" s="3"/>
    </row>
    <row r="96" spans="1:8" ht="15.75" thickBot="1" x14ac:dyDescent="0.3">
      <c r="A96" s="135">
        <f>'2100Z'!A37</f>
        <v>4.6000000000000014</v>
      </c>
      <c r="B96" s="284">
        <f>'2100Z'!B37</f>
        <v>68.464312148679412</v>
      </c>
      <c r="C96" s="136">
        <f>'2100Z'!C37</f>
        <v>14.1</v>
      </c>
      <c r="D96" s="136">
        <f>'2100Z'!D37</f>
        <v>-1.3000000000000007</v>
      </c>
      <c r="E96" s="136">
        <f>'2100Z'!E37</f>
        <v>-0.19999999999999929</v>
      </c>
      <c r="F96" s="138" t="str">
        <f>'2100Z'!F37</f>
        <v>0.0</v>
      </c>
      <c r="G96" s="291">
        <f>'2100Z'!G37</f>
        <v>0</v>
      </c>
      <c r="H96" s="3"/>
    </row>
    <row r="97" spans="1:8" ht="15.75" customHeight="1" thickTop="1" x14ac:dyDescent="0.25">
      <c r="A97" s="639" t="s">
        <v>31</v>
      </c>
      <c r="B97" s="640"/>
      <c r="C97" s="640"/>
      <c r="D97" s="640"/>
      <c r="E97" s="640"/>
      <c r="F97" s="640"/>
      <c r="G97" s="641"/>
      <c r="H97" s="3"/>
    </row>
    <row r="98" spans="1:8" ht="15.75" customHeight="1" x14ac:dyDescent="0.25">
      <c r="A98" s="642"/>
      <c r="B98" s="643"/>
      <c r="C98" s="643"/>
      <c r="D98" s="643"/>
      <c r="E98" s="643"/>
      <c r="F98" s="643"/>
      <c r="G98" s="644"/>
      <c r="H98" s="3"/>
    </row>
    <row r="99" spans="1:8" ht="15" customHeight="1" thickBot="1" x14ac:dyDescent="0.3">
      <c r="A99" s="645"/>
      <c r="B99" s="646"/>
      <c r="C99" s="646"/>
      <c r="D99" s="646"/>
      <c r="E99" s="646"/>
      <c r="F99" s="646"/>
      <c r="G99" s="647"/>
      <c r="H99" s="3"/>
    </row>
    <row r="100" spans="1:8" ht="15.75" customHeight="1" thickTop="1" x14ac:dyDescent="0.25">
      <c r="A100" s="86" t="str">
        <f>'0000Z'!A8</f>
        <v xml:space="preserve">AA XX  </v>
      </c>
      <c r="B100" s="287" t="str">
        <f>'0000Z'!B8</f>
        <v>02001</v>
      </c>
      <c r="C100" s="87">
        <f>'0000Z'!C8</f>
        <v>78486</v>
      </c>
      <c r="D100" s="88">
        <f>IF('0000Z'!D8="","",'0000Z'!D8)</f>
        <v>46082</v>
      </c>
      <c r="E100" s="87">
        <f>'0000Z'!E8</f>
        <v>0</v>
      </c>
      <c r="F100" s="87">
        <f>'0000Z'!F8</f>
        <v>0</v>
      </c>
      <c r="G100" s="300">
        <f>'0000Z'!G8</f>
        <v>0</v>
      </c>
      <c r="H100" s="3"/>
    </row>
    <row r="101" spans="1:8" x14ac:dyDescent="0.25">
      <c r="A101" s="95" t="str">
        <f>'0000Z'!A10</f>
        <v>32566</v>
      </c>
      <c r="B101" s="96" t="str">
        <f>'0000Z'!B10</f>
        <v>61203</v>
      </c>
      <c r="C101" s="90" t="str">
        <f>'0000Z'!C10</f>
        <v>10272</v>
      </c>
      <c r="D101" s="90" t="str">
        <f>'0000Z'!D10</f>
        <v>20223</v>
      </c>
      <c r="E101" s="90" t="str">
        <f>'0000Z'!E10</f>
        <v>40156</v>
      </c>
      <c r="F101" s="96" t="str">
        <f>'0000Z'!F10</f>
        <v>52015</v>
      </c>
      <c r="G101" s="103" t="str">
        <f>'0000Z'!G10</f>
        <v>7</v>
      </c>
      <c r="H101" s="3"/>
    </row>
    <row r="102" spans="1:8" x14ac:dyDescent="0.25">
      <c r="A102" s="98" t="str">
        <f>'0000Z'!A12</f>
        <v>85770</v>
      </c>
      <c r="B102" s="99" t="str">
        <f>'0000Z'!B12</f>
        <v>333</v>
      </c>
      <c r="C102" s="99">
        <f>'0000Z'!C12</f>
        <v>0</v>
      </c>
      <c r="D102" s="99" t="str">
        <f>'0000Z'!D12</f>
        <v>10313</v>
      </c>
      <c r="E102" s="99" t="str">
        <f>'0000Z'!E12</f>
        <v>20230</v>
      </c>
      <c r="F102" s="99" t="str">
        <f>'0000Z'!F12</f>
        <v>30///</v>
      </c>
      <c r="G102" s="140">
        <f>'0000Z'!G12</f>
        <v>0</v>
      </c>
      <c r="H102" s="3"/>
    </row>
    <row r="103" spans="1:8" x14ac:dyDescent="0.25">
      <c r="A103" s="95">
        <f>'0000Z'!A14</f>
        <v>0</v>
      </c>
      <c r="B103" s="96" t="str">
        <f>'0000Z'!B14</f>
        <v>56000</v>
      </c>
      <c r="C103" s="96" t="str">
        <f>'0000Z'!C14</f>
        <v>58000</v>
      </c>
      <c r="D103" s="96" t="str">
        <f>'0000Z'!D14</f>
        <v xml:space="preserve">6  </v>
      </c>
      <c r="E103" s="96" t="str">
        <f>'0000Z'!E14</f>
        <v xml:space="preserve">7  </v>
      </c>
      <c r="F103" s="96" t="str">
        <f>'0000Z'!F14</f>
        <v>85620</v>
      </c>
      <c r="G103" s="103" t="str">
        <f>'0000Z'!G14</f>
        <v>85358</v>
      </c>
      <c r="H103" s="3"/>
    </row>
    <row r="104" spans="1:8" x14ac:dyDescent="0.25">
      <c r="A104" s="98" t="str">
        <f>'0000Z'!A16</f>
        <v>8</v>
      </c>
      <c r="B104" s="99" t="str">
        <f>'0000Z'!B16</f>
        <v>8</v>
      </c>
      <c r="C104" s="99" t="str">
        <f>'0000Z'!C16</f>
        <v>94067</v>
      </c>
      <c r="D104" s="99" t="str">
        <f>'0000Z'!D16</f>
        <v>94130</v>
      </c>
      <c r="E104" s="99" t="str">
        <f>'0000Z'!E16</f>
        <v>94238</v>
      </c>
      <c r="F104" s="99" t="str">
        <f>'0000Z'!F16</f>
        <v>94380</v>
      </c>
      <c r="G104" s="140" t="str">
        <f>'0000Z'!G16</f>
        <v>94484</v>
      </c>
      <c r="H104" s="3"/>
    </row>
    <row r="105" spans="1:8" x14ac:dyDescent="0.25">
      <c r="A105" s="95" t="str">
        <f>'0000Z'!A18</f>
        <v>9</v>
      </c>
      <c r="B105" s="96" t="str">
        <f>'0000Z'!B18</f>
        <v>9</v>
      </c>
      <c r="C105" s="96" t="str">
        <f>'0000Z'!C18</f>
        <v>9</v>
      </c>
      <c r="D105" s="96" t="str">
        <f>'0000Z'!D18</f>
        <v>9</v>
      </c>
      <c r="E105" s="96" t="str">
        <f>'0000Z'!E18</f>
        <v>9</v>
      </c>
      <c r="F105" s="96" t="str">
        <f>'0000Z'!F18</f>
        <v>9</v>
      </c>
      <c r="G105" s="103" t="str">
        <f>'0000Z'!G18</f>
        <v>9</v>
      </c>
      <c r="H105" s="3"/>
    </row>
    <row r="106" spans="1:8" x14ac:dyDescent="0.25">
      <c r="A106" s="98" t="str">
        <f>'0000Z'!A20</f>
        <v>9</v>
      </c>
      <c r="B106" s="99" t="str">
        <f>'0000Z'!B20</f>
        <v>9</v>
      </c>
      <c r="C106" s="99" t="str">
        <f>'0000Z'!C20</f>
        <v>9</v>
      </c>
      <c r="D106" s="99" t="str">
        <f>'0000Z'!D20</f>
        <v>9</v>
      </c>
      <c r="E106" s="99" t="str">
        <f>'0000Z'!E20</f>
        <v>9</v>
      </c>
      <c r="F106" s="99" t="str">
        <f>'0000Z'!F20</f>
        <v>9</v>
      </c>
      <c r="G106" s="140" t="str">
        <f>'0000Z'!G20</f>
        <v>9</v>
      </c>
      <c r="H106" s="3"/>
    </row>
    <row r="107" spans="1:8" x14ac:dyDescent="0.25">
      <c r="A107" s="95" t="str">
        <f>'0000Z'!A22</f>
        <v>9</v>
      </c>
      <c r="B107" s="96" t="str">
        <f>'0000Z'!B22</f>
        <v>9</v>
      </c>
      <c r="C107" s="96" t="str">
        <f>'0000Z'!C22</f>
        <v>9</v>
      </c>
      <c r="D107" s="96" t="str">
        <f>'0000Z'!D22</f>
        <v>9</v>
      </c>
      <c r="E107" s="96" t="str">
        <f>'0000Z'!E22</f>
        <v>9</v>
      </c>
      <c r="F107" s="96" t="str">
        <f>'0000Z'!F22</f>
        <v xml:space="preserve">555 </v>
      </c>
      <c r="G107" s="101" t="str">
        <f>'0000Z'!G22</f>
        <v>29074</v>
      </c>
      <c r="H107" s="3"/>
    </row>
    <row r="108" spans="1:8" x14ac:dyDescent="0.25">
      <c r="A108" s="92">
        <f>'0000Z'!A27</f>
        <v>0</v>
      </c>
      <c r="B108" s="93">
        <f>'0000Z'!B27</f>
        <v>0</v>
      </c>
      <c r="C108" s="99">
        <f>'0000Z'!C27</f>
        <v>0</v>
      </c>
      <c r="D108" s="93">
        <f>'0000Z'!D27</f>
        <v>0</v>
      </c>
      <c r="E108" s="93">
        <f>'0000Z'!E27</f>
        <v>0</v>
      </c>
      <c r="F108" s="93">
        <f>'0000Z'!F27</f>
        <v>0</v>
      </c>
      <c r="G108" s="102">
        <f>'0000Z'!G27</f>
        <v>0</v>
      </c>
      <c r="H108" s="3"/>
    </row>
    <row r="109" spans="1:8" x14ac:dyDescent="0.25">
      <c r="A109" s="89">
        <f>'0000Z'!A29</f>
        <v>27.2</v>
      </c>
      <c r="B109" s="90">
        <f>'0000Z'!B29</f>
        <v>22.258227272543486</v>
      </c>
      <c r="C109" s="96">
        <f>'0000Z'!C29</f>
        <v>0</v>
      </c>
      <c r="D109" s="90">
        <f>'0000Z'!D29</f>
        <v>12.5</v>
      </c>
      <c r="E109" s="90">
        <f>'0000Z'!E29</f>
        <v>14</v>
      </c>
      <c r="F109" s="90">
        <f>'0000Z'!F29</f>
        <v>31</v>
      </c>
      <c r="G109" s="103">
        <f>'0000Z'!G29</f>
        <v>0</v>
      </c>
      <c r="H109" s="3"/>
    </row>
    <row r="110" spans="1:8" x14ac:dyDescent="0.25">
      <c r="A110" s="92"/>
      <c r="B110" s="93"/>
      <c r="C110" s="93">
        <f>'0000Z'!C31</f>
        <v>14</v>
      </c>
      <c r="D110" s="93"/>
      <c r="E110" s="93"/>
      <c r="F110" s="93"/>
      <c r="G110" s="102"/>
      <c r="H110" s="3"/>
    </row>
    <row r="111" spans="1:8" x14ac:dyDescent="0.25">
      <c r="A111" s="89">
        <f>'0000Z'!A33</f>
        <v>23.6</v>
      </c>
      <c r="B111" s="90">
        <f>'0000Z'!B33</f>
        <v>26.682042630153266</v>
      </c>
      <c r="C111" s="90">
        <f>'0000Z'!C33</f>
        <v>1.6</v>
      </c>
      <c r="D111" s="90">
        <f>'0000Z'!D33</f>
        <v>14</v>
      </c>
      <c r="E111" s="90">
        <f>'0000Z'!E33</f>
        <v>14</v>
      </c>
      <c r="F111" s="90">
        <f>'0000Z'!F33</f>
        <v>27</v>
      </c>
      <c r="G111" s="101">
        <f>'0000Z'!G33</f>
        <v>0</v>
      </c>
      <c r="H111" s="3"/>
    </row>
    <row r="112" spans="1:8" ht="15.75" thickBot="1" x14ac:dyDescent="0.3">
      <c r="A112" s="135">
        <f>'0000Z'!A37</f>
        <v>3.5999999999999979</v>
      </c>
      <c r="B112" s="284">
        <f>'0000Z'!B37</f>
        <v>73.952362431188007</v>
      </c>
      <c r="C112" s="136">
        <f>'0000Z'!C37</f>
        <v>15.6</v>
      </c>
      <c r="D112" s="136">
        <f>'0000Z'!D37</f>
        <v>1.5</v>
      </c>
      <c r="E112" s="136">
        <f>'0000Z'!E37</f>
        <v>0</v>
      </c>
      <c r="F112" s="138" t="str">
        <f>'0000Z'!F37</f>
        <v>0.0</v>
      </c>
      <c r="G112" s="291">
        <f>'0000Z'!G37</f>
        <v>0</v>
      </c>
      <c r="H112" s="3"/>
    </row>
    <row r="113" spans="1:8" ht="15.75" customHeight="1" thickTop="1" x14ac:dyDescent="0.25">
      <c r="A113" s="576" t="s">
        <v>281</v>
      </c>
      <c r="B113" s="577"/>
      <c r="C113" s="577"/>
      <c r="D113" s="577"/>
      <c r="E113" s="577"/>
      <c r="F113" s="577"/>
      <c r="G113" s="578"/>
      <c r="H113" s="3"/>
    </row>
    <row r="114" spans="1:8" ht="15.75" customHeight="1" x14ac:dyDescent="0.25">
      <c r="A114" s="579"/>
      <c r="B114" s="580"/>
      <c r="C114" s="580"/>
      <c r="D114" s="580"/>
      <c r="E114" s="580"/>
      <c r="F114" s="580"/>
      <c r="G114" s="581"/>
      <c r="H114" s="3"/>
    </row>
    <row r="115" spans="1:8" ht="15" customHeight="1" thickBot="1" x14ac:dyDescent="0.3">
      <c r="A115" s="582"/>
      <c r="B115" s="583"/>
      <c r="C115" s="583"/>
      <c r="D115" s="583"/>
      <c r="E115" s="583"/>
      <c r="F115" s="583"/>
      <c r="G115" s="584"/>
      <c r="H115" s="3"/>
    </row>
    <row r="116" spans="1:8" ht="15.75" customHeight="1" thickTop="1" x14ac:dyDescent="0.25">
      <c r="A116" s="86" t="str">
        <f>'0003Z'!A8</f>
        <v xml:space="preserve">AA XX  </v>
      </c>
      <c r="B116" s="292" t="str">
        <f>'0003Z'!B8</f>
        <v>02031</v>
      </c>
      <c r="C116" s="109">
        <f>'0003Z'!C8</f>
        <v>78486</v>
      </c>
      <c r="D116" s="110">
        <f>IF('0003Z'!D8="","",'0003Z'!D8)</f>
        <v>46082</v>
      </c>
      <c r="E116" s="109">
        <f>'0003Z'!E8</f>
        <v>0</v>
      </c>
      <c r="F116" s="109">
        <f>'0003Z'!F8</f>
        <v>0</v>
      </c>
      <c r="G116" s="297">
        <f>'0003Z'!G8</f>
        <v>0</v>
      </c>
      <c r="H116" s="3"/>
    </row>
    <row r="117" spans="1:8" x14ac:dyDescent="0.25">
      <c r="A117" s="95" t="str">
        <f>'0003Z'!A10</f>
        <v>32466</v>
      </c>
      <c r="B117" s="113" t="str">
        <f>'0003Z'!B10</f>
        <v>50903</v>
      </c>
      <c r="C117" s="111" t="str">
        <f>'0003Z'!C10</f>
        <v>10262</v>
      </c>
      <c r="D117" s="111" t="str">
        <f>'0003Z'!D10</f>
        <v>20212</v>
      </c>
      <c r="E117" s="111" t="str">
        <f>'0003Z'!E10</f>
        <v>40166</v>
      </c>
      <c r="F117" s="113" t="str">
        <f>'0003Z'!F10</f>
        <v>52010</v>
      </c>
      <c r="G117" s="97" t="str">
        <f>'0003Z'!G10</f>
        <v>7</v>
      </c>
      <c r="H117" s="3"/>
    </row>
    <row r="118" spans="1:8" x14ac:dyDescent="0.25">
      <c r="A118" s="98" t="str">
        <f>'0003Z'!A12</f>
        <v>84870</v>
      </c>
      <c r="B118" s="293" t="str">
        <f>'0003Z'!B12</f>
        <v>333</v>
      </c>
      <c r="C118" s="293">
        <f>'0003Z'!C12</f>
        <v>0</v>
      </c>
      <c r="D118" s="293" t="str">
        <f>'0003Z'!D12</f>
        <v xml:space="preserve">10  </v>
      </c>
      <c r="E118" s="293" t="str">
        <f>'0003Z'!E12</f>
        <v xml:space="preserve">20  </v>
      </c>
      <c r="F118" s="293" t="str">
        <f>'0003Z'!F12</f>
        <v>30///</v>
      </c>
      <c r="G118" s="100">
        <f>'0003Z'!G12</f>
        <v>0</v>
      </c>
      <c r="H118" s="3"/>
    </row>
    <row r="119" spans="1:8" x14ac:dyDescent="0.25">
      <c r="A119" s="95">
        <f>'0003Z'!A14</f>
        <v>0</v>
      </c>
      <c r="B119" s="113" t="str">
        <f>'0003Z'!B14</f>
        <v>56000</v>
      </c>
      <c r="C119" s="113" t="str">
        <f>'0003Z'!C14</f>
        <v>58000</v>
      </c>
      <c r="D119" s="113" t="str">
        <f>'0003Z'!D14</f>
        <v xml:space="preserve">6  </v>
      </c>
      <c r="E119" s="113" t="str">
        <f>'0003Z'!E14</f>
        <v xml:space="preserve">7  </v>
      </c>
      <c r="F119" s="113" t="str">
        <f>'0003Z'!F14</f>
        <v>84620</v>
      </c>
      <c r="G119" s="97" t="str">
        <f>'0003Z'!G14</f>
        <v>84358</v>
      </c>
      <c r="H119" s="3"/>
    </row>
    <row r="120" spans="1:8" x14ac:dyDescent="0.25">
      <c r="A120" s="98" t="str">
        <f>'0003Z'!A16</f>
        <v>8</v>
      </c>
      <c r="B120" s="293" t="str">
        <f>'0003Z'!B16</f>
        <v>8</v>
      </c>
      <c r="C120" s="293" t="str">
        <f>'0003Z'!C16</f>
        <v>94060</v>
      </c>
      <c r="D120" s="293" t="str">
        <f>'0003Z'!D16</f>
        <v>94130</v>
      </c>
      <c r="E120" s="293" t="str">
        <f>'0003Z'!E16</f>
        <v>94236</v>
      </c>
      <c r="F120" s="293" t="str">
        <f>'0003Z'!F16</f>
        <v>94380</v>
      </c>
      <c r="G120" s="100" t="str">
        <f>'0003Z'!G16</f>
        <v>94488</v>
      </c>
      <c r="H120" s="3"/>
    </row>
    <row r="121" spans="1:8" x14ac:dyDescent="0.25">
      <c r="A121" s="95" t="str">
        <f>'0003Z'!A18</f>
        <v>9</v>
      </c>
      <c r="B121" s="113" t="str">
        <f>'0003Z'!B18</f>
        <v>9</v>
      </c>
      <c r="C121" s="113" t="str">
        <f>'0003Z'!C18</f>
        <v>9</v>
      </c>
      <c r="D121" s="113" t="str">
        <f>'0003Z'!D18</f>
        <v>9</v>
      </c>
      <c r="E121" s="113" t="str">
        <f>'0003Z'!E18</f>
        <v>9</v>
      </c>
      <c r="F121" s="113" t="str">
        <f>'0003Z'!F18</f>
        <v>9</v>
      </c>
      <c r="G121" s="97" t="str">
        <f>'0003Z'!G18</f>
        <v>9</v>
      </c>
      <c r="H121" s="3"/>
    </row>
    <row r="122" spans="1:8" x14ac:dyDescent="0.25">
      <c r="A122" s="98" t="str">
        <f>'0003Z'!A20</f>
        <v>9</v>
      </c>
      <c r="B122" s="293" t="str">
        <f>'0003Z'!B20</f>
        <v>9</v>
      </c>
      <c r="C122" s="293" t="str">
        <f>'0003Z'!C20</f>
        <v>9</v>
      </c>
      <c r="D122" s="293" t="str">
        <f>'0003Z'!D20</f>
        <v>9</v>
      </c>
      <c r="E122" s="293" t="str">
        <f>'0003Z'!E20</f>
        <v>9</v>
      </c>
      <c r="F122" s="293" t="str">
        <f>'0003Z'!F20</f>
        <v>9</v>
      </c>
      <c r="G122" s="100" t="str">
        <f>'0003Z'!G20</f>
        <v>9</v>
      </c>
      <c r="H122" s="3"/>
    </row>
    <row r="123" spans="1:8" x14ac:dyDescent="0.25">
      <c r="A123" s="95" t="str">
        <f>'0003Z'!A22</f>
        <v>9</v>
      </c>
      <c r="B123" s="113" t="str">
        <f>'0003Z'!B22</f>
        <v>9</v>
      </c>
      <c r="C123" s="113" t="str">
        <f>'0003Z'!C22</f>
        <v>9</v>
      </c>
      <c r="D123" s="113" t="str">
        <f>'0003Z'!D22</f>
        <v>9</v>
      </c>
      <c r="E123" s="113" t="str">
        <f>'0003Z'!E22</f>
        <v>9</v>
      </c>
      <c r="F123" s="113" t="str">
        <f>'0003Z'!F22</f>
        <v xml:space="preserve">555 </v>
      </c>
      <c r="G123" s="91" t="str">
        <f>'0003Z'!G22</f>
        <v>29073</v>
      </c>
      <c r="H123" s="3"/>
    </row>
    <row r="124" spans="1:8" x14ac:dyDescent="0.25">
      <c r="A124" s="92"/>
      <c r="B124" s="112"/>
      <c r="C124" s="293">
        <f>'0003Z'!C27</f>
        <v>0</v>
      </c>
      <c r="D124" s="112"/>
      <c r="E124" s="112"/>
      <c r="F124" s="112"/>
      <c r="G124" s="94"/>
      <c r="H124" s="3"/>
    </row>
    <row r="125" spans="1:8" x14ac:dyDescent="0.25">
      <c r="A125" s="95" t="str">
        <f>'0003Z'!A29</f>
        <v>26.2</v>
      </c>
      <c r="B125" s="111">
        <f>'0003Z'!B29</f>
        <v>21.175991394175391</v>
      </c>
      <c r="C125" s="113">
        <f>'0003Z'!C29</f>
        <v>0</v>
      </c>
      <c r="D125" s="111">
        <f>'0003Z'!D29</f>
        <v>14</v>
      </c>
      <c r="E125" s="111">
        <f>'0003Z'!E29</f>
        <v>15</v>
      </c>
      <c r="F125" s="113">
        <f>'0003Z'!F29</f>
        <v>0</v>
      </c>
      <c r="G125" s="97">
        <f>'0003Z'!G29</f>
        <v>0</v>
      </c>
      <c r="H125" s="3"/>
    </row>
    <row r="126" spans="1:8" x14ac:dyDescent="0.25">
      <c r="A126" s="92"/>
      <c r="B126" s="112"/>
      <c r="C126" s="112">
        <f>'0003Z'!C31</f>
        <v>15</v>
      </c>
      <c r="D126" s="112"/>
      <c r="E126" s="112"/>
      <c r="F126" s="112"/>
      <c r="G126" s="94"/>
      <c r="H126" s="3"/>
    </row>
    <row r="127" spans="1:8" x14ac:dyDescent="0.25">
      <c r="A127" s="89">
        <f>'0003Z'!A33</f>
        <v>22.6</v>
      </c>
      <c r="B127" s="111">
        <f>'0003Z'!B33</f>
        <v>24.974102789247688</v>
      </c>
      <c r="C127" s="111">
        <f>'0003Z'!C33</f>
        <v>1.6</v>
      </c>
      <c r="D127" s="111">
        <f>'0003Z'!D33</f>
        <v>15</v>
      </c>
      <c r="E127" s="111">
        <f>'0003Z'!E33</f>
        <v>15</v>
      </c>
      <c r="F127" s="111">
        <f>'0003Z'!F33</f>
        <v>0</v>
      </c>
      <c r="G127" s="91">
        <f>'0003Z'!G33</f>
        <v>0</v>
      </c>
      <c r="H127" s="3"/>
    </row>
    <row r="128" spans="1:8" ht="15.75" thickBot="1" x14ac:dyDescent="0.3">
      <c r="A128" s="135">
        <f>'0003Z'!A37</f>
        <v>3.5999999999999979</v>
      </c>
      <c r="B128" s="294">
        <f>'0003Z'!B37</f>
        <v>73.420545619242603</v>
      </c>
      <c r="C128" s="141">
        <f>'0003Z'!C37</f>
        <v>16.600000000000001</v>
      </c>
      <c r="D128" s="141">
        <f>'0003Z'!D37</f>
        <v>1</v>
      </c>
      <c r="E128" s="141">
        <f>'0003Z'!E37</f>
        <v>0</v>
      </c>
      <c r="F128" s="295">
        <f>'0003Z'!F37</f>
        <v>0</v>
      </c>
      <c r="G128" s="139">
        <f>'0003Z'!G37</f>
        <v>0</v>
      </c>
      <c r="H128" s="3"/>
    </row>
    <row r="129" spans="1:8" ht="15.75" thickTop="1" x14ac:dyDescent="0.25">
      <c r="H129" s="3"/>
    </row>
    <row r="130" spans="1:8" x14ac:dyDescent="0.25">
      <c r="A130" s="5"/>
      <c r="B130" s="5"/>
      <c r="C130" s="5"/>
      <c r="D130" s="5"/>
      <c r="E130" s="5"/>
      <c r="F130" s="5"/>
      <c r="G130" s="5"/>
      <c r="H130" s="3"/>
    </row>
    <row r="131" spans="1:8" x14ac:dyDescent="0.25"/>
  </sheetData>
  <mergeCells count="8">
    <mergeCell ref="A113:G115"/>
    <mergeCell ref="A33:G35"/>
    <mergeCell ref="A49:G51"/>
    <mergeCell ref="A1:G3"/>
    <mergeCell ref="A17:G19"/>
    <mergeCell ref="A65:G67"/>
    <mergeCell ref="A81:G83"/>
    <mergeCell ref="A97:G99"/>
  </mergeCells>
  <conditionalFormatting sqref="A49 A17 A36:G48 A52:G64 A68:G80 A4:G16 A84:G96 A1 A100:G112 A97 A116:G128 A113">
    <cfRule type="expression" dxfId="4" priority="5">
      <formula>ROW()=CELL("fila")</formula>
    </cfRule>
  </conditionalFormatting>
  <conditionalFormatting sqref="A65">
    <cfRule type="expression" dxfId="3" priority="2">
      <formula>ROW()=CELL("fila")</formula>
    </cfRule>
  </conditionalFormatting>
  <conditionalFormatting sqref="A33">
    <cfRule type="expression" dxfId="2" priority="4">
      <formula>ROW()=CELL("fila")</formula>
    </cfRule>
  </conditionalFormatting>
  <conditionalFormatting sqref="A81">
    <cfRule type="expression" dxfId="1" priority="3">
      <formula>ROW()=CELL("fila")</formula>
    </cfRule>
  </conditionalFormatting>
  <conditionalFormatting sqref="A20:G32">
    <cfRule type="expression" dxfId="0" priority="1">
      <formula>ROW()=CELL("fila")</formula>
    </cfRule>
  </conditionalFormatting>
  <pageMargins left="0.70866141732283461" right="0.70866141732283461" top="0.74803149606299213" bottom="0.74803149606299213" header="0.31496062992125984" footer="0.31496062992125984"/>
  <pageSetup paperSize="9" scale="77" fitToWidth="2" fitToHeight="2" orientation="portrait" r:id="rId1"/>
  <rowBreaks count="1" manualBreakCount="1">
    <brk id="64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GuardarDatosEnTXT">
                <anchor moveWithCells="1" sizeWithCells="1">
                  <from>
                    <xdr:col>7</xdr:col>
                    <xdr:colOff>314325</xdr:colOff>
                    <xdr:row>15</xdr:row>
                    <xdr:rowOff>57150</xdr:rowOff>
                  </from>
                  <to>
                    <xdr:col>10</xdr:col>
                    <xdr:colOff>247650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FF00"/>
  </sheetPr>
  <dimension ref="A1:G53"/>
  <sheetViews>
    <sheetView showGridLines="0" showRowColHeaders="0" topLeftCell="A13" workbookViewId="0">
      <selection activeCell="F51" sqref="F51"/>
    </sheetView>
  </sheetViews>
  <sheetFormatPr baseColWidth="10" defaultColWidth="0" defaultRowHeight="15" zeroHeight="1" x14ac:dyDescent="0.25"/>
  <cols>
    <col min="1" max="1" width="16.7109375" customWidth="1"/>
    <col min="2" max="2" width="20.5703125" customWidth="1"/>
    <col min="3" max="3" width="15.28515625" customWidth="1"/>
    <col min="4" max="4" width="15.140625" customWidth="1"/>
    <col min="5" max="5" width="18" customWidth="1"/>
    <col min="6" max="6" width="56" customWidth="1"/>
    <col min="7" max="7" width="39.140625" customWidth="1"/>
    <col min="8" max="16384" width="11.42578125" hidden="1"/>
  </cols>
  <sheetData>
    <row r="1" spans="1:7" x14ac:dyDescent="0.25">
      <c r="A1" s="659" t="s">
        <v>66</v>
      </c>
      <c r="B1" s="659"/>
      <c r="C1" s="659"/>
      <c r="D1" s="659"/>
      <c r="E1" s="659"/>
      <c r="F1" s="659"/>
      <c r="G1" s="659"/>
    </row>
    <row r="2" spans="1:7" x14ac:dyDescent="0.25">
      <c r="A2" s="659" t="s">
        <v>67</v>
      </c>
      <c r="B2" s="659"/>
      <c r="C2" s="659"/>
      <c r="D2" s="659"/>
      <c r="E2" s="659"/>
      <c r="F2" s="659"/>
      <c r="G2" s="659"/>
    </row>
    <row r="3" spans="1:7" x14ac:dyDescent="0.25">
      <c r="A3" s="24" t="s">
        <v>68</v>
      </c>
      <c r="B3" s="660" t="s">
        <v>69</v>
      </c>
      <c r="C3" s="656"/>
      <c r="D3" s="656"/>
      <c r="E3" s="656"/>
      <c r="F3" s="656"/>
      <c r="G3" s="656"/>
    </row>
    <row r="4" spans="1:7" ht="12.75" customHeight="1" x14ac:dyDescent="0.25">
      <c r="A4" s="25" t="s">
        <v>70</v>
      </c>
      <c r="B4" s="660"/>
      <c r="C4" s="656"/>
      <c r="D4" s="656"/>
      <c r="E4" s="656"/>
      <c r="F4" s="656"/>
      <c r="G4" s="656"/>
    </row>
    <row r="5" spans="1:7" x14ac:dyDescent="0.25">
      <c r="A5" s="26" t="s">
        <v>71</v>
      </c>
      <c r="B5" s="658" t="s">
        <v>72</v>
      </c>
      <c r="C5" s="658"/>
      <c r="D5" s="658"/>
      <c r="E5" s="658"/>
      <c r="F5" s="658"/>
      <c r="G5" s="658"/>
    </row>
    <row r="6" spans="1:7" x14ac:dyDescent="0.25">
      <c r="A6" s="27" t="s">
        <v>73</v>
      </c>
      <c r="B6" s="658" t="s">
        <v>74</v>
      </c>
      <c r="C6" s="658"/>
      <c r="D6" s="658"/>
      <c r="E6" s="658"/>
      <c r="F6" s="658"/>
      <c r="G6" s="658"/>
    </row>
    <row r="7" spans="1:7" x14ac:dyDescent="0.25">
      <c r="A7" s="27" t="s">
        <v>75</v>
      </c>
      <c r="B7" s="658" t="s">
        <v>76</v>
      </c>
      <c r="C7" s="658"/>
      <c r="D7" s="658"/>
      <c r="E7" s="658"/>
      <c r="F7" s="658"/>
      <c r="G7" s="658"/>
    </row>
    <row r="8" spans="1:7" ht="36.75" customHeight="1" x14ac:dyDescent="0.25">
      <c r="A8" s="27" t="s">
        <v>3</v>
      </c>
      <c r="B8" s="651" t="s">
        <v>77</v>
      </c>
      <c r="C8" s="651"/>
      <c r="D8" s="651"/>
      <c r="E8" s="651"/>
      <c r="F8" s="651"/>
      <c r="G8" s="651"/>
    </row>
    <row r="9" spans="1:7" x14ac:dyDescent="0.25">
      <c r="A9" s="28" t="s">
        <v>4</v>
      </c>
      <c r="B9" s="657" t="s">
        <v>78</v>
      </c>
      <c r="C9" s="657"/>
      <c r="D9" s="657"/>
      <c r="E9" s="657"/>
      <c r="F9" s="657"/>
      <c r="G9" s="657"/>
    </row>
    <row r="10" spans="1:7" x14ac:dyDescent="0.25">
      <c r="A10" s="28" t="s">
        <v>79</v>
      </c>
      <c r="B10" s="657" t="s">
        <v>80</v>
      </c>
      <c r="C10" s="657"/>
      <c r="D10" s="657"/>
      <c r="E10" s="657"/>
      <c r="F10" s="657"/>
      <c r="G10" s="657"/>
    </row>
    <row r="11" spans="1:7" x14ac:dyDescent="0.25">
      <c r="A11" s="29" t="s">
        <v>5</v>
      </c>
      <c r="B11" s="651" t="s">
        <v>81</v>
      </c>
      <c r="C11" s="651"/>
      <c r="D11" s="651"/>
      <c r="E11" s="651"/>
      <c r="F11" s="651"/>
      <c r="G11" s="651"/>
    </row>
    <row r="12" spans="1:7" x14ac:dyDescent="0.25">
      <c r="A12" s="29" t="s">
        <v>82</v>
      </c>
      <c r="B12" s="658" t="s">
        <v>83</v>
      </c>
      <c r="C12" s="658"/>
      <c r="D12" s="658"/>
      <c r="E12" s="658"/>
      <c r="F12" s="658"/>
      <c r="G12" s="658"/>
    </row>
    <row r="13" spans="1:7" x14ac:dyDescent="0.25">
      <c r="A13" s="29" t="s">
        <v>84</v>
      </c>
      <c r="B13" s="651" t="s">
        <v>85</v>
      </c>
      <c r="C13" s="651"/>
      <c r="D13" s="651"/>
      <c r="E13" s="651"/>
      <c r="F13" s="651"/>
      <c r="G13" s="651"/>
    </row>
    <row r="14" spans="1:7" x14ac:dyDescent="0.25">
      <c r="A14" s="29" t="s">
        <v>7</v>
      </c>
      <c r="B14" s="657" t="s">
        <v>86</v>
      </c>
      <c r="C14" s="657"/>
      <c r="D14" s="657"/>
      <c r="E14" s="657"/>
      <c r="F14" s="657"/>
      <c r="G14" s="657"/>
    </row>
    <row r="15" spans="1:7" ht="27" customHeight="1" x14ac:dyDescent="0.25">
      <c r="A15" s="26" t="s">
        <v>45</v>
      </c>
      <c r="B15" s="651" t="s">
        <v>87</v>
      </c>
      <c r="C15" s="651"/>
      <c r="D15" s="651"/>
      <c r="E15" s="651"/>
      <c r="F15" s="651"/>
      <c r="G15" s="651"/>
    </row>
    <row r="16" spans="1:7" x14ac:dyDescent="0.25">
      <c r="A16" s="30">
        <v>333</v>
      </c>
      <c r="B16" s="658" t="s">
        <v>88</v>
      </c>
      <c r="C16" s="658"/>
      <c r="D16" s="658"/>
      <c r="E16" s="658"/>
      <c r="F16" s="658"/>
      <c r="G16" s="658"/>
    </row>
    <row r="17" spans="1:7" x14ac:dyDescent="0.25">
      <c r="A17" s="31" t="s">
        <v>89</v>
      </c>
      <c r="B17" s="651" t="s">
        <v>90</v>
      </c>
      <c r="C17" s="651"/>
      <c r="D17" s="651"/>
      <c r="E17" s="651"/>
      <c r="F17" s="651"/>
      <c r="G17" s="651"/>
    </row>
    <row r="18" spans="1:7" x14ac:dyDescent="0.25">
      <c r="A18" s="31" t="s">
        <v>11</v>
      </c>
      <c r="B18" s="657" t="s">
        <v>91</v>
      </c>
      <c r="C18" s="657"/>
      <c r="D18" s="657"/>
      <c r="E18" s="657"/>
      <c r="F18" s="657"/>
      <c r="G18" s="657"/>
    </row>
    <row r="19" spans="1:7" x14ac:dyDescent="0.25">
      <c r="A19" s="31" t="s">
        <v>12</v>
      </c>
      <c r="B19" s="657" t="s">
        <v>91</v>
      </c>
      <c r="C19" s="657"/>
      <c r="D19" s="657"/>
      <c r="E19" s="657"/>
      <c r="F19" s="657"/>
      <c r="G19" s="657"/>
    </row>
    <row r="20" spans="1:7" x14ac:dyDescent="0.25">
      <c r="A20" s="31" t="s">
        <v>92</v>
      </c>
      <c r="B20" s="651" t="s">
        <v>93</v>
      </c>
      <c r="C20" s="651"/>
      <c r="D20" s="651"/>
      <c r="E20" s="651"/>
      <c r="F20" s="651"/>
      <c r="G20" s="651"/>
    </row>
    <row r="21" spans="1:7" ht="24" customHeight="1" x14ac:dyDescent="0.25">
      <c r="A21" s="27" t="s">
        <v>14</v>
      </c>
      <c r="B21" s="652" t="s">
        <v>94</v>
      </c>
      <c r="C21" s="652"/>
      <c r="D21" s="652"/>
      <c r="E21" s="652"/>
      <c r="F21" s="652"/>
      <c r="G21" s="652"/>
    </row>
    <row r="22" spans="1:7" x14ac:dyDescent="0.25">
      <c r="A22" s="27" t="s">
        <v>15</v>
      </c>
      <c r="B22" s="653" t="s">
        <v>95</v>
      </c>
      <c r="C22" s="654"/>
      <c r="D22" s="654"/>
      <c r="E22" s="654"/>
      <c r="F22" s="654"/>
      <c r="G22" s="655"/>
    </row>
    <row r="23" spans="1:7" x14ac:dyDescent="0.25">
      <c r="A23" s="28" t="s">
        <v>96</v>
      </c>
      <c r="B23" s="656" t="s">
        <v>97</v>
      </c>
      <c r="C23" s="656"/>
      <c r="D23" s="656"/>
      <c r="E23" s="656"/>
      <c r="F23" s="656"/>
      <c r="G23" s="656"/>
    </row>
    <row r="24" spans="1:7" ht="24.75" customHeight="1" x14ac:dyDescent="0.25">
      <c r="A24" s="27" t="s">
        <v>49</v>
      </c>
      <c r="B24" s="652" t="s">
        <v>98</v>
      </c>
      <c r="C24" s="652"/>
      <c r="D24" s="652"/>
      <c r="E24" s="652"/>
      <c r="F24" s="652"/>
      <c r="G24" s="652"/>
    </row>
    <row r="25" spans="1:7" ht="23.25" customHeight="1" x14ac:dyDescent="0.25">
      <c r="A25" s="27" t="s">
        <v>16</v>
      </c>
      <c r="B25" s="651" t="s">
        <v>99</v>
      </c>
      <c r="C25" s="651"/>
      <c r="D25" s="651"/>
      <c r="E25" s="651"/>
      <c r="F25" s="651"/>
      <c r="G25" s="651"/>
    </row>
    <row r="26" spans="1:7" x14ac:dyDescent="0.25">
      <c r="A26" s="27" t="s">
        <v>47</v>
      </c>
      <c r="B26" s="657" t="s">
        <v>100</v>
      </c>
      <c r="C26" s="657"/>
      <c r="D26" s="657"/>
      <c r="E26" s="657"/>
      <c r="F26" s="657"/>
      <c r="G26" s="657"/>
    </row>
    <row r="27" spans="1:7" ht="25.5" customHeight="1" x14ac:dyDescent="0.25">
      <c r="A27" s="28" t="s">
        <v>55</v>
      </c>
      <c r="B27" s="657" t="s">
        <v>101</v>
      </c>
      <c r="C27" s="657"/>
      <c r="D27" s="657"/>
      <c r="E27" s="657"/>
      <c r="F27" s="657"/>
      <c r="G27" s="657"/>
    </row>
    <row r="28" spans="1:7" ht="21" customHeight="1" x14ac:dyDescent="0.25">
      <c r="A28" s="28" t="s">
        <v>56</v>
      </c>
      <c r="B28" s="652" t="s">
        <v>102</v>
      </c>
      <c r="C28" s="652"/>
      <c r="D28" s="652"/>
      <c r="E28" s="652"/>
      <c r="F28" s="652"/>
      <c r="G28" s="652"/>
    </row>
    <row r="29" spans="1:7" x14ac:dyDescent="0.25">
      <c r="A29" s="32">
        <v>555</v>
      </c>
      <c r="B29" s="658" t="s">
        <v>103</v>
      </c>
      <c r="C29" s="658"/>
      <c r="D29" s="658"/>
      <c r="E29" s="658"/>
      <c r="F29" s="658"/>
      <c r="G29" s="658"/>
    </row>
    <row r="30" spans="1:7" x14ac:dyDescent="0.25">
      <c r="A30" s="32" t="s">
        <v>20</v>
      </c>
      <c r="B30" s="658" t="s">
        <v>104</v>
      </c>
      <c r="C30" s="658"/>
      <c r="D30" s="658"/>
      <c r="E30" s="658"/>
      <c r="F30" s="658"/>
      <c r="G30" s="658"/>
    </row>
    <row r="31" spans="1:7" ht="21" customHeight="1" x14ac:dyDescent="0.25">
      <c r="A31" s="648" t="s">
        <v>105</v>
      </c>
      <c r="B31" s="650"/>
      <c r="C31" s="8"/>
      <c r="D31" s="8"/>
      <c r="E31" s="8"/>
      <c r="F31" s="8"/>
      <c r="G31" s="9"/>
    </row>
    <row r="32" spans="1:7" ht="15.75" x14ac:dyDescent="0.25">
      <c r="A32" s="17" t="s">
        <v>38</v>
      </c>
      <c r="B32" s="17" t="s">
        <v>39</v>
      </c>
      <c r="C32" s="17" t="s">
        <v>25</v>
      </c>
      <c r="D32" s="17" t="s">
        <v>40</v>
      </c>
      <c r="E32" s="17" t="s">
        <v>41</v>
      </c>
      <c r="F32" s="17" t="s">
        <v>42</v>
      </c>
      <c r="G32" s="10"/>
    </row>
    <row r="33" spans="1:7" ht="15.75" x14ac:dyDescent="0.25">
      <c r="A33" s="18" t="s">
        <v>106</v>
      </c>
      <c r="B33" s="19" t="s">
        <v>107</v>
      </c>
      <c r="C33" s="19" t="s">
        <v>108</v>
      </c>
      <c r="D33" s="19" t="s">
        <v>109</v>
      </c>
      <c r="E33" s="19" t="s">
        <v>110</v>
      </c>
      <c r="F33" s="19" t="s">
        <v>111</v>
      </c>
      <c r="G33" s="11"/>
    </row>
    <row r="34" spans="1:7" x14ac:dyDescent="0.25">
      <c r="A34" s="648" t="s">
        <v>112</v>
      </c>
      <c r="B34" s="648"/>
      <c r="C34" s="12"/>
      <c r="D34" s="12"/>
      <c r="E34" s="12"/>
      <c r="F34" s="12"/>
      <c r="G34" s="13"/>
    </row>
    <row r="35" spans="1:7" x14ac:dyDescent="0.25">
      <c r="A35" s="17" t="s">
        <v>113</v>
      </c>
      <c r="B35" s="17" t="s">
        <v>43</v>
      </c>
      <c r="C35" s="17" t="s">
        <v>44</v>
      </c>
      <c r="D35" s="17" t="s">
        <v>63</v>
      </c>
      <c r="E35" s="17" t="s">
        <v>52</v>
      </c>
      <c r="F35" s="9"/>
    </row>
    <row r="36" spans="1:7" ht="15.75" x14ac:dyDescent="0.25">
      <c r="A36" s="19" t="s">
        <v>114</v>
      </c>
      <c r="B36" s="19" t="s">
        <v>115</v>
      </c>
      <c r="C36" s="19" t="s">
        <v>116</v>
      </c>
      <c r="D36" s="19" t="s">
        <v>117</v>
      </c>
      <c r="E36" s="19" t="s">
        <v>118</v>
      </c>
      <c r="F36" s="9"/>
      <c r="G36" s="10"/>
    </row>
    <row r="37" spans="1:7" ht="15.75" x14ac:dyDescent="0.25">
      <c r="A37" s="649" t="s">
        <v>119</v>
      </c>
      <c r="B37" s="649"/>
      <c r="C37" s="9"/>
      <c r="D37" s="649" t="s">
        <v>120</v>
      </c>
      <c r="E37" s="649"/>
      <c r="F37" s="9"/>
      <c r="G37" s="14"/>
    </row>
    <row r="38" spans="1:7" x14ac:dyDescent="0.25">
      <c r="A38" s="17" t="s">
        <v>62</v>
      </c>
      <c r="B38" s="17" t="s">
        <v>121</v>
      </c>
      <c r="C38" s="17" t="s">
        <v>25</v>
      </c>
      <c r="D38" s="17" t="s">
        <v>61</v>
      </c>
      <c r="E38" s="17" t="s">
        <v>121</v>
      </c>
      <c r="F38" s="17" t="s">
        <v>25</v>
      </c>
      <c r="G38" s="13"/>
    </row>
    <row r="39" spans="1:7" ht="24" customHeight="1" x14ac:dyDescent="0.25">
      <c r="A39" s="20" t="s">
        <v>119</v>
      </c>
      <c r="B39" s="21" t="s">
        <v>122</v>
      </c>
      <c r="C39" s="20" t="s">
        <v>123</v>
      </c>
      <c r="D39" s="37" t="s">
        <v>124</v>
      </c>
      <c r="E39" s="21" t="s">
        <v>125</v>
      </c>
      <c r="F39" s="19" t="s">
        <v>126</v>
      </c>
    </row>
    <row r="40" spans="1:7" ht="15.75" x14ac:dyDescent="0.25">
      <c r="A40" s="648" t="s">
        <v>127</v>
      </c>
      <c r="B40" s="648"/>
      <c r="C40" s="9"/>
      <c r="D40" s="648" t="s">
        <v>128</v>
      </c>
      <c r="E40" s="648"/>
      <c r="F40" s="9"/>
      <c r="G40" s="15"/>
    </row>
    <row r="41" spans="1:7" ht="15.75" x14ac:dyDescent="0.25">
      <c r="A41" s="17" t="s">
        <v>129</v>
      </c>
      <c r="B41" s="17" t="s">
        <v>130</v>
      </c>
      <c r="C41" s="17" t="s">
        <v>131</v>
      </c>
      <c r="D41" s="17" t="s">
        <v>132</v>
      </c>
      <c r="E41" s="17" t="s">
        <v>133</v>
      </c>
      <c r="F41" s="17" t="s">
        <v>134</v>
      </c>
      <c r="G41" s="15"/>
    </row>
    <row r="42" spans="1:7" ht="24.75" x14ac:dyDescent="0.25">
      <c r="A42" s="36" t="s">
        <v>135</v>
      </c>
      <c r="B42" s="18" t="s">
        <v>136</v>
      </c>
      <c r="C42" s="22" t="s">
        <v>137</v>
      </c>
      <c r="D42" s="18" t="s">
        <v>138</v>
      </c>
      <c r="E42" s="21" t="s">
        <v>139</v>
      </c>
      <c r="F42" s="23" t="s">
        <v>140</v>
      </c>
      <c r="G42" s="16"/>
    </row>
    <row r="43" spans="1:7" x14ac:dyDescent="0.25"/>
    <row r="44" spans="1:7" x14ac:dyDescent="0.25"/>
    <row r="45" spans="1:7" x14ac:dyDescent="0.25"/>
    <row r="46" spans="1:7" x14ac:dyDescent="0.25"/>
    <row r="47" spans="1:7" x14ac:dyDescent="0.25"/>
    <row r="48" spans="1:7" x14ac:dyDescent="0.25"/>
    <row r="49" x14ac:dyDescent="0.25"/>
    <row r="50" x14ac:dyDescent="0.25"/>
    <row r="51" x14ac:dyDescent="0.25"/>
    <row r="52" x14ac:dyDescent="0.25"/>
    <row r="53" x14ac:dyDescent="0.25"/>
  </sheetData>
  <mergeCells count="35">
    <mergeCell ref="B7:G7"/>
    <mergeCell ref="A1:G1"/>
    <mergeCell ref="A2:G2"/>
    <mergeCell ref="B3:G4"/>
    <mergeCell ref="B5:G5"/>
    <mergeCell ref="B6:G6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31:B31"/>
    <mergeCell ref="B20:G20"/>
    <mergeCell ref="B21:G21"/>
    <mergeCell ref="B22:G22"/>
    <mergeCell ref="B23:G23"/>
    <mergeCell ref="B24:G24"/>
    <mergeCell ref="B25:G25"/>
    <mergeCell ref="B26:G26"/>
    <mergeCell ref="B27:G27"/>
    <mergeCell ref="B28:G28"/>
    <mergeCell ref="B29:G29"/>
    <mergeCell ref="B30:G30"/>
    <mergeCell ref="A34:B34"/>
    <mergeCell ref="A37:B37"/>
    <mergeCell ref="D37:E37"/>
    <mergeCell ref="A40:B40"/>
    <mergeCell ref="D40:E4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13</vt:i4>
      </vt:variant>
    </vt:vector>
  </HeadingPairs>
  <TitlesOfParts>
    <vt:vector size="28" baseType="lpstr">
      <vt:lpstr>MENU</vt:lpstr>
      <vt:lpstr>0006Z</vt:lpstr>
      <vt:lpstr>0009Z</vt:lpstr>
      <vt:lpstr>1200Z</vt:lpstr>
      <vt:lpstr>1500Z</vt:lpstr>
      <vt:lpstr>1800Z</vt:lpstr>
      <vt:lpstr>2100Z</vt:lpstr>
      <vt:lpstr>0000Z</vt:lpstr>
      <vt:lpstr>0003Z</vt:lpstr>
      <vt:lpstr>FORMULAS</vt:lpstr>
      <vt:lpstr>3074</vt:lpstr>
      <vt:lpstr>4074</vt:lpstr>
      <vt:lpstr>5074</vt:lpstr>
      <vt:lpstr>Guardar TXT</vt:lpstr>
      <vt:lpstr>Instrucciones de llenado</vt:lpstr>
      <vt:lpstr>A</vt:lpstr>
      <vt:lpstr>'0000Z'!Área_de_impresión</vt:lpstr>
      <vt:lpstr>'0003Z'!Área_de_impresión</vt:lpstr>
      <vt:lpstr>'0006Z'!Área_de_impresión</vt:lpstr>
      <vt:lpstr>'0009Z'!Área_de_impresión</vt:lpstr>
      <vt:lpstr>'1200Z'!Área_de_impresión</vt:lpstr>
      <vt:lpstr>'1500Z'!Área_de_impresión</vt:lpstr>
      <vt:lpstr>'1800Z'!Área_de_impresión</vt:lpstr>
      <vt:lpstr>'2100Z'!Área_de_impresión</vt:lpstr>
      <vt:lpstr>'3074'!Área_de_impresión</vt:lpstr>
      <vt:lpstr>'4074'!Área_de_impresión</vt:lpstr>
      <vt:lpstr>'5074'!Área_de_impresión</vt:lpstr>
      <vt:lpstr>'Guardar TXT'!Área_de_impresión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Observadores Division</dc:creator>
  <cp:lastModifiedBy>Control de Calidad</cp:lastModifiedBy>
  <cp:lastPrinted>2025-08-21T13:31:08Z</cp:lastPrinted>
  <dcterms:created xsi:type="dcterms:W3CDTF">2023-03-01T11:18:22Z</dcterms:created>
  <dcterms:modified xsi:type="dcterms:W3CDTF">2026-04-08T13:36:39Z</dcterms:modified>
</cp:coreProperties>
</file>